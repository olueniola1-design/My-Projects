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User\OneDrive\Desktop\"/>
    </mc:Choice>
  </mc:AlternateContent>
  <xr:revisionPtr revIDLastSave="0" documentId="8_{9EA84007-C8F1-4862-81C4-1B133F78520F}" xr6:coauthVersionLast="47" xr6:coauthVersionMax="47" xr10:uidLastSave="{00000000-0000-0000-0000-000000000000}"/>
  <bookViews>
    <workbookView xWindow="-110" yWindow="-110" windowWidth="19420" windowHeight="10300" tabRatio="872" xr2:uid="{2C7CE5C0-FC40-4EBA-BE9E-7AC5CE31D72C}"/>
  </bookViews>
  <sheets>
    <sheet name="Mean,Median,Mode" sheetId="1" r:id="rId1"/>
    <sheet name="GOAL SEEK" sheetId="2" r:id="rId2"/>
    <sheet name="TABLE CREATION" sheetId="3" r:id="rId3"/>
    <sheet name="DASHBOARD CREATION" sheetId="5" r:id="rId4"/>
    <sheet name="DATA VISUALIZATION" sheetId="6" r:id="rId5"/>
    <sheet name="PIVOT TABLE" sheetId="7" r:id="rId6"/>
    <sheet name="LINE CHART" sheetId="8" r:id="rId7"/>
    <sheet name="SALES ANALYSIS" sheetId="12" r:id="rId8"/>
  </sheets>
  <definedNames>
    <definedName name="Slicer_City">#N/A</definedName>
    <definedName name="Slicer_Gender">#N/A</definedName>
    <definedName name="Slicer_Product_Category">#N/A</definedName>
    <definedName name="Slicer_Purchase_History">#N/A</definedName>
  </definedNames>
  <calcPr calcId="191029"/>
  <pivotCaches>
    <pivotCache cacheId="5"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3" l="1"/>
  <c r="I6" i="3"/>
  <c r="I7" i="3" s="1"/>
  <c r="K6" i="3"/>
  <c r="I10" i="2"/>
  <c r="E62" i="2"/>
  <c r="E66" i="1"/>
  <c r="E65" i="1"/>
  <c r="E64" i="1"/>
</calcChain>
</file>

<file path=xl/sharedStrings.xml><?xml version="1.0" encoding="utf-8"?>
<sst xmlns="http://schemas.openxmlformats.org/spreadsheetml/2006/main" count="788" uniqueCount="38">
  <si>
    <t>Customer ID</t>
  </si>
  <si>
    <t>Age</t>
  </si>
  <si>
    <t>Gender</t>
  </si>
  <si>
    <t>City</t>
  </si>
  <si>
    <t>Purchase History</t>
  </si>
  <si>
    <t>Product Category</t>
  </si>
  <si>
    <t>Female</t>
  </si>
  <si>
    <t>New York</t>
  </si>
  <si>
    <t>Electronics</t>
  </si>
  <si>
    <t>Male</t>
  </si>
  <si>
    <t>Los Angeles</t>
  </si>
  <si>
    <t>Clothing</t>
  </si>
  <si>
    <t>Chicago</t>
  </si>
  <si>
    <t>Home Decor</t>
  </si>
  <si>
    <t>Houston</t>
  </si>
  <si>
    <t>San Francisco</t>
  </si>
  <si>
    <t>Miami</t>
  </si>
  <si>
    <t>Dallas</t>
  </si>
  <si>
    <t>Seattle</t>
  </si>
  <si>
    <t>Boston</t>
  </si>
  <si>
    <t>Atlanta</t>
  </si>
  <si>
    <t xml:space="preserve">Mean </t>
  </si>
  <si>
    <t>Median</t>
  </si>
  <si>
    <t>Mode</t>
  </si>
  <si>
    <t>Mean</t>
  </si>
  <si>
    <t>MEAN</t>
  </si>
  <si>
    <t>GOAL SEEK</t>
  </si>
  <si>
    <t>Key</t>
  </si>
  <si>
    <t>Total</t>
  </si>
  <si>
    <t>Average Age</t>
  </si>
  <si>
    <t>Other Products</t>
  </si>
  <si>
    <t>Home Décor</t>
  </si>
  <si>
    <t>Dropdown List of Product Category</t>
  </si>
  <si>
    <t>%Sales</t>
  </si>
  <si>
    <t>Row Labels</t>
  </si>
  <si>
    <t>Grand Total</t>
  </si>
  <si>
    <t>Sum of Purchase History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</si>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</sst>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0"/>
      <color rgb="FF1D2125"/>
      <name val="Segoe UI"/>
      <family val="2"/>
    </font>
    <font>
      <sz val="10"/>
      <color rgb="FF1D2125"/>
      <name val="Segoe UI"/>
      <family val="2"/>
    </font>
    <font>
      <sz val="11"/>
      <color theme="1"/>
      <name val="Aptos Narrow"/>
      <family val="2"/>
      <scheme val="minor"/>
    </font>
    <font>
      <b/>
      <sz val="9"/>
      <color rgb="FF1D2125"/>
      <name val="Segoe UI"/>
      <family val="2"/>
    </font>
    <font>
      <sz val="9"/>
      <color rgb="FF1D2125"/>
      <name val="Segoe UI"/>
      <family val="2"/>
    </font>
    <font>
      <sz val="10"/>
      <color theme="1"/>
      <name val="Aptos Narrow"/>
      <family val="2"/>
      <scheme val="minor"/>
    </font>
    <font>
      <sz val="9"/>
      <color theme="1" tint="4.9989318521683403E-2"/>
      <name val="Segoe UI"/>
      <family val="2"/>
    </font>
    <font>
      <sz val="11"/>
      <color theme="1" tint="4.9989318521683403E-2"/>
      <name val="Aptos Narrow"/>
      <family val="2"/>
      <scheme val="minor"/>
    </font>
    <font>
      <b/>
      <sz val="8"/>
      <color rgb="FF1D2125"/>
      <name val="Segoe UI"/>
      <family val="2"/>
    </font>
    <font>
      <b/>
      <sz val="8"/>
      <color rgb="FF1D2125"/>
      <name val="Sagona Book"/>
      <family val="1"/>
    </font>
    <font>
      <sz val="8"/>
      <color theme="1"/>
      <name val="Aptos Narrow"/>
      <family val="2"/>
      <scheme val="minor"/>
    </font>
  </fonts>
  <fills count="8">
    <fill>
      <patternFill patternType="none"/>
    </fill>
    <fill>
      <patternFill patternType="gray125"/>
    </fill>
    <fill>
      <patternFill patternType="solid">
        <fgColor rgb="FFF8F9FA"/>
        <bgColor indexed="64"/>
      </patternFill>
    </fill>
    <fill>
      <patternFill patternType="solid">
        <fgColor rgb="FF3598DB"/>
        <bgColor indexed="64"/>
      </patternFill>
    </fill>
    <fill>
      <patternFill patternType="solid">
        <fgColor theme="6" tint="0.59999389629810485"/>
        <bgColor indexed="64"/>
      </patternFill>
    </fill>
    <fill>
      <patternFill patternType="solid">
        <fgColor theme="5" tint="-0.249977111117893"/>
        <bgColor indexed="64"/>
      </patternFill>
    </fill>
    <fill>
      <patternFill patternType="solid">
        <fgColor theme="4"/>
        <bgColor indexed="64"/>
      </patternFill>
    </fill>
    <fill>
      <patternFill patternType="solid">
        <fgColor theme="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9" fontId="3" fillId="0" borderId="0" applyFont="0" applyFill="0" applyBorder="0" applyAlignment="0" applyProtection="0"/>
  </cellStyleXfs>
  <cellXfs count="51">
    <xf numFmtId="0" fontId="0" fillId="0" borderId="0" xfId="0"/>
    <xf numFmtId="0" fontId="1" fillId="3" borderId="2" xfId="0" applyFont="1" applyFill="1" applyBorder="1" applyAlignment="1">
      <alignment vertical="center" wrapText="1"/>
    </xf>
    <xf numFmtId="0" fontId="1" fillId="3" borderId="3" xfId="0" applyFont="1" applyFill="1" applyBorder="1" applyAlignment="1">
      <alignment vertical="center" wrapText="1"/>
    </xf>
    <xf numFmtId="0" fontId="1" fillId="3" borderId="4" xfId="0" applyFont="1" applyFill="1" applyBorder="1" applyAlignment="1">
      <alignment vertical="center" wrapText="1"/>
    </xf>
    <xf numFmtId="0" fontId="2" fillId="2" borderId="5" xfId="0" applyFont="1" applyFill="1" applyBorder="1" applyAlignment="1">
      <alignment vertical="center" wrapText="1"/>
    </xf>
    <xf numFmtId="0" fontId="2" fillId="2" borderId="1" xfId="0" applyFont="1" applyFill="1" applyBorder="1" applyAlignment="1">
      <alignment vertical="center" wrapText="1"/>
    </xf>
    <xf numFmtId="0" fontId="2" fillId="2" borderId="6" xfId="0" applyFont="1" applyFill="1" applyBorder="1" applyAlignment="1">
      <alignment vertical="center" wrapText="1"/>
    </xf>
    <xf numFmtId="0" fontId="2" fillId="2" borderId="7" xfId="0" applyFont="1" applyFill="1" applyBorder="1" applyAlignment="1">
      <alignment vertical="center" wrapText="1"/>
    </xf>
    <xf numFmtId="0" fontId="2" fillId="2" borderId="8" xfId="0" applyFont="1" applyFill="1" applyBorder="1" applyAlignment="1">
      <alignment vertical="center" wrapText="1"/>
    </xf>
    <xf numFmtId="0" fontId="2" fillId="2" borderId="9" xfId="0" applyFont="1" applyFill="1" applyBorder="1" applyAlignment="1">
      <alignment vertical="center" wrapText="1"/>
    </xf>
    <xf numFmtId="0" fontId="2" fillId="4" borderId="0" xfId="0" applyFont="1" applyFill="1" applyAlignment="1">
      <alignment vertical="center" wrapText="1"/>
    </xf>
    <xf numFmtId="0" fontId="0" fillId="4" borderId="0" xfId="0" applyFill="1"/>
    <xf numFmtId="0" fontId="4" fillId="3" borderId="2" xfId="0" applyFont="1" applyFill="1" applyBorder="1" applyAlignment="1">
      <alignment vertical="center"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0" fontId="5" fillId="2" borderId="5" xfId="0" applyFont="1" applyFill="1" applyBorder="1" applyAlignment="1">
      <alignment vertical="center" wrapText="1"/>
    </xf>
    <xf numFmtId="0" fontId="5" fillId="2" borderId="1" xfId="0" applyFont="1" applyFill="1" applyBorder="1" applyAlignment="1">
      <alignment vertical="center" wrapText="1"/>
    </xf>
    <xf numFmtId="0" fontId="5" fillId="2" borderId="6" xfId="0" applyFont="1" applyFill="1" applyBorder="1" applyAlignment="1">
      <alignment vertical="center" wrapText="1"/>
    </xf>
    <xf numFmtId="0" fontId="5" fillId="2" borderId="7" xfId="0" applyFont="1" applyFill="1" applyBorder="1" applyAlignment="1">
      <alignment vertical="center" wrapText="1"/>
    </xf>
    <xf numFmtId="0" fontId="5" fillId="2" borderId="8" xfId="0" applyFont="1" applyFill="1" applyBorder="1" applyAlignment="1">
      <alignment vertical="center" wrapText="1"/>
    </xf>
    <xf numFmtId="0" fontId="5" fillId="2" borderId="9" xfId="0" applyFont="1" applyFill="1" applyBorder="1" applyAlignment="1">
      <alignment vertical="center" wrapText="1"/>
    </xf>
    <xf numFmtId="0" fontId="6" fillId="0" borderId="0" xfId="0" applyFont="1"/>
    <xf numFmtId="0" fontId="7" fillId="5" borderId="0" xfId="0" applyFont="1" applyFill="1" applyAlignment="1">
      <alignment vertical="center" wrapText="1"/>
    </xf>
    <xf numFmtId="0" fontId="8" fillId="5" borderId="0" xfId="0" applyFont="1" applyFill="1"/>
    <xf numFmtId="0" fontId="5" fillId="5" borderId="10" xfId="0" applyFont="1" applyFill="1" applyBorder="1" applyAlignment="1">
      <alignment vertical="center" wrapText="1"/>
    </xf>
    <xf numFmtId="0" fontId="0" fillId="5" borderId="0" xfId="0" applyFill="1"/>
    <xf numFmtId="0" fontId="5" fillId="5" borderId="1" xfId="0" applyFont="1" applyFill="1" applyBorder="1" applyAlignment="1">
      <alignment vertical="center" wrapText="1"/>
    </xf>
    <xf numFmtId="0" fontId="5" fillId="5" borderId="5" xfId="0" applyFont="1" applyFill="1" applyBorder="1" applyAlignment="1">
      <alignment vertical="center" wrapText="1"/>
    </xf>
    <xf numFmtId="0" fontId="5" fillId="5" borderId="6" xfId="0" applyFont="1" applyFill="1" applyBorder="1" applyAlignment="1">
      <alignment vertical="center" wrapText="1"/>
    </xf>
    <xf numFmtId="0" fontId="5" fillId="5" borderId="0" xfId="0" applyFont="1" applyFill="1" applyAlignment="1">
      <alignment vertical="center" wrapText="1"/>
    </xf>
    <xf numFmtId="0" fontId="2" fillId="2" borderId="0" xfId="0" applyFont="1" applyFill="1" applyAlignment="1">
      <alignment vertical="center" wrapText="1"/>
    </xf>
    <xf numFmtId="9" fontId="0" fillId="0" borderId="0" xfId="1" applyFont="1"/>
    <xf numFmtId="9" fontId="2" fillId="2" borderId="0" xfId="1" applyFont="1" applyFill="1" applyBorder="1" applyAlignment="1">
      <alignment vertical="center" wrapText="1"/>
    </xf>
    <xf numFmtId="1" fontId="0" fillId="0" borderId="0" xfId="0" applyNumberFormat="1"/>
    <xf numFmtId="0" fontId="2" fillId="6" borderId="0" xfId="0" applyFont="1" applyFill="1" applyAlignment="1">
      <alignment vertical="center" wrapText="1"/>
    </xf>
    <xf numFmtId="0" fontId="9" fillId="0" borderId="0" xfId="0" applyFont="1"/>
    <xf numFmtId="0" fontId="10" fillId="7" borderId="0" xfId="0" applyFont="1" applyFill="1"/>
    <xf numFmtId="0" fontId="0" fillId="7" borderId="0" xfId="0" applyFill="1"/>
    <xf numFmtId="0" fontId="11" fillId="0" borderId="0" xfId="0" applyFont="1"/>
    <xf numFmtId="0" fontId="2" fillId="2" borderId="11" xfId="0" applyFont="1" applyFill="1" applyBorder="1" applyAlignment="1">
      <alignment vertical="center" wrapText="1"/>
    </xf>
    <xf numFmtId="0" fontId="2" fillId="2" borderId="12" xfId="0" applyFont="1" applyFill="1" applyBorder="1" applyAlignment="1">
      <alignment vertical="center" wrapText="1"/>
    </xf>
    <xf numFmtId="0" fontId="1" fillId="3" borderId="13" xfId="0" applyFont="1" applyFill="1" applyBorder="1" applyAlignment="1">
      <alignment vertical="center" wrapText="1"/>
    </xf>
    <xf numFmtId="0" fontId="1" fillId="3" borderId="14" xfId="0" applyFont="1" applyFill="1" applyBorder="1" applyAlignment="1">
      <alignment vertical="center" wrapText="1"/>
    </xf>
    <xf numFmtId="0" fontId="1" fillId="3" borderId="15" xfId="0" applyFont="1" applyFill="1" applyBorder="1" applyAlignment="1">
      <alignment vertical="center" wrapText="1"/>
    </xf>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2" fillId="2" borderId="18" xfId="0"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2">
    <cellStyle name="Normal" xfId="0" builtinId="0"/>
    <cellStyle name="Percent" xfId="1" builtinId="5"/>
  </cellStyles>
  <dxfs count="11">
    <dxf>
      <font>
        <b val="0"/>
        <i val="0"/>
        <strike val="0"/>
        <condense val="0"/>
        <extend val="0"/>
        <outline val="0"/>
        <shadow val="0"/>
        <u val="none"/>
        <vertAlign val="baseline"/>
        <sz val="10"/>
        <color rgb="FF1D2125"/>
        <name val="Segoe UI"/>
        <family val="2"/>
        <scheme val="none"/>
      </font>
      <fill>
        <patternFill patternType="solid">
          <fgColor indexed="64"/>
          <bgColor rgb="FFF8F9FA"/>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rgb="FF1D2125"/>
        <name val="Segoe UI"/>
        <family val="2"/>
        <scheme val="none"/>
      </font>
      <fill>
        <patternFill patternType="solid">
          <fgColor indexed="64"/>
          <bgColor rgb="FFF8F9FA"/>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D2125"/>
        <name val="Segoe UI"/>
        <family val="2"/>
        <scheme val="none"/>
      </font>
      <fill>
        <patternFill patternType="solid">
          <fgColor indexed="64"/>
          <bgColor rgb="FFF8F9FA"/>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D2125"/>
        <name val="Segoe UI"/>
        <family val="2"/>
        <scheme val="none"/>
      </font>
      <fill>
        <patternFill patternType="solid">
          <fgColor indexed="64"/>
          <bgColor rgb="FFF8F9FA"/>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D2125"/>
        <name val="Segoe UI"/>
        <family val="2"/>
        <scheme val="none"/>
      </font>
      <fill>
        <patternFill patternType="solid">
          <fgColor indexed="64"/>
          <bgColor rgb="FFF8F9FA"/>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D2125"/>
        <name val="Segoe UI"/>
        <family val="2"/>
        <scheme val="none"/>
      </font>
      <fill>
        <patternFill patternType="solid">
          <fgColor indexed="64"/>
          <bgColor rgb="FFF8F9FA"/>
        </patternFill>
      </fill>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0"/>
        <color rgb="FF1D2125"/>
        <name val="Segoe UI"/>
        <family val="2"/>
        <scheme val="none"/>
      </font>
      <fill>
        <patternFill patternType="solid">
          <fgColor indexed="64"/>
          <bgColor rgb="FFF8F9FA"/>
        </patternFill>
      </fill>
      <alignment horizontal="general"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rgb="FF1D2125"/>
        <name val="Segoe UI"/>
        <family val="2"/>
        <scheme val="none"/>
      </font>
      <fill>
        <patternFill patternType="solid">
          <fgColor indexed="64"/>
          <bgColor rgb="FF3598DB"/>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a:t>
            </a:r>
            <a:r>
              <a:rPr lang="en-US" baseline="0"/>
              <a:t> Chart of Product Category and Percentage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'TABLE CREATION'!$I$5</c:f>
              <c:strCache>
                <c:ptCount val="1"/>
                <c:pt idx="0">
                  <c:v>%Sales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7D-4546-8854-D963D2570671}"/>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7D-4546-8854-D963D257067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 CREATION'!$H$6:$H$7</c:f>
              <c:strCache>
                <c:ptCount val="2"/>
                <c:pt idx="0">
                  <c:v>Electronics</c:v>
                </c:pt>
                <c:pt idx="1">
                  <c:v>Other Products</c:v>
                </c:pt>
              </c:strCache>
            </c:strRef>
          </c:cat>
          <c:val>
            <c:numRef>
              <c:f>'TABLE CREATION'!$I$6:$I$7</c:f>
              <c:numCache>
                <c:formatCode>0%</c:formatCode>
                <c:ptCount val="2"/>
                <c:pt idx="0">
                  <c:v>0.43761286800218385</c:v>
                </c:pt>
                <c:pt idx="1">
                  <c:v>0.5623871319978162</c:v>
                </c:pt>
              </c:numCache>
            </c:numRef>
          </c:val>
          <c:extLst>
            <c:ext xmlns:c16="http://schemas.microsoft.com/office/drawing/2014/chart" uri="{C3380CC4-5D6E-409C-BE32-E72D297353CC}">
              <c16:uniqueId val="{00000004-BD7D-4546-8854-D963D257067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 Chart of Product category and Sum of Purchase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TABLE'!$A$4:$A$7</c:f>
              <c:strCache>
                <c:ptCount val="3"/>
                <c:pt idx="0">
                  <c:v>Clothing</c:v>
                </c:pt>
                <c:pt idx="1">
                  <c:v>Electronics</c:v>
                </c:pt>
                <c:pt idx="2">
                  <c:v>Home Decor</c:v>
                </c:pt>
              </c:strCache>
            </c:strRef>
          </c:cat>
          <c:val>
            <c:numRef>
              <c:f>'PIVOT TABLE'!$B$4:$B$7</c:f>
              <c:numCache>
                <c:formatCode>General</c:formatCode>
                <c:ptCount val="3"/>
                <c:pt idx="0">
                  <c:v>21600</c:v>
                </c:pt>
                <c:pt idx="1">
                  <c:v>31260</c:v>
                </c:pt>
                <c:pt idx="2">
                  <c:v>17920</c:v>
                </c:pt>
              </c:numCache>
            </c:numRef>
          </c:val>
          <c:smooth val="0"/>
          <c:extLst>
            <c:ext xmlns:c16="http://schemas.microsoft.com/office/drawing/2014/chart" uri="{C3380CC4-5D6E-409C-BE32-E72D297353CC}">
              <c16:uniqueId val="{00000000-2EFD-42B8-AB02-AC23EECC5FDA}"/>
            </c:ext>
          </c:extLst>
        </c:ser>
        <c:dLbls>
          <c:showLegendKey val="0"/>
          <c:showVal val="0"/>
          <c:showCatName val="0"/>
          <c:showSerName val="0"/>
          <c:showPercent val="0"/>
          <c:showBubbleSize val="0"/>
        </c:dLbls>
        <c:marker val="1"/>
        <c:smooth val="0"/>
        <c:axId val="1329255007"/>
        <c:axId val="1329256447"/>
      </c:lineChart>
      <c:catAx>
        <c:axId val="132925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Product</a:t>
                </a:r>
                <a:r>
                  <a:rPr lang="en-CA" baseline="0"/>
                  <a:t> Category</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56447"/>
        <c:crosses val="autoZero"/>
        <c:auto val="1"/>
        <c:lblAlgn val="ctr"/>
        <c:lblOffset val="100"/>
        <c:noMultiLvlLbl val="0"/>
      </c:catAx>
      <c:valAx>
        <c:axId val="13292564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Sum</a:t>
                </a:r>
                <a:r>
                  <a:rPr lang="en-CA" baseline="0"/>
                  <a:t> of Purchase History</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a:solidFill>
              <a:schemeClr val="accent5">
                <a:lumMod val="20000"/>
                <a:lumOff val="8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550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5">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7</xdr:col>
      <xdr:colOff>349250</xdr:colOff>
      <xdr:row>1</xdr:row>
      <xdr:rowOff>6350</xdr:rowOff>
    </xdr:from>
    <xdr:ext cx="3009900" cy="1003300"/>
    <xdr:sp macro="" textlink="">
      <xdr:nvSpPr>
        <xdr:cNvPr id="2" name="TextBox 1">
          <a:extLst>
            <a:ext uri="{FF2B5EF4-FFF2-40B4-BE49-F238E27FC236}">
              <a16:creationId xmlns:a16="http://schemas.microsoft.com/office/drawing/2014/main" id="{07EB489B-8FC7-BB9C-C34C-E26D11A5C727}"/>
            </a:ext>
          </a:extLst>
        </xdr:cNvPr>
        <xdr:cNvSpPr txBox="1"/>
      </xdr:nvSpPr>
      <xdr:spPr>
        <a:xfrm>
          <a:off x="6235700" y="412750"/>
          <a:ext cx="3009900" cy="1003300"/>
        </a:xfrm>
        <a:prstGeom prst="rect">
          <a:avLst/>
        </a:prstGeom>
        <a:solidFill>
          <a:schemeClr val="tx2">
            <a:lumMod val="50000"/>
            <a:lumOff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200"/>
            <a:t>This data represents the</a:t>
          </a:r>
          <a:r>
            <a:rPr lang="en-CA" sz="1200" baseline="0"/>
            <a:t> Customer purchase profile of an E-commerce company, organized to track individual customer demographics alongside their purchase habits. I am to perform sales analysis on the data provided.</a:t>
          </a:r>
          <a:endParaRPr lang="en-CA" sz="12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349250</xdr:colOff>
      <xdr:row>6</xdr:row>
      <xdr:rowOff>6350</xdr:rowOff>
    </xdr:from>
    <xdr:to>
      <xdr:col>11</xdr:col>
      <xdr:colOff>44450</xdr:colOff>
      <xdr:row>22</xdr:row>
      <xdr:rowOff>165100</xdr:rowOff>
    </xdr:to>
    <xdr:graphicFrame macro="">
      <xdr:nvGraphicFramePr>
        <xdr:cNvPr id="2" name="Chart 1">
          <a:extLst>
            <a:ext uri="{FF2B5EF4-FFF2-40B4-BE49-F238E27FC236}">
              <a16:creationId xmlns:a16="http://schemas.microsoft.com/office/drawing/2014/main" id="{B8E0A448-2934-479E-9C43-66D27CDE0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387350</xdr:colOff>
      <xdr:row>28</xdr:row>
      <xdr:rowOff>120650</xdr:rowOff>
    </xdr:from>
    <xdr:ext cx="184731" cy="264560"/>
    <xdr:sp macro="" textlink="">
      <xdr:nvSpPr>
        <xdr:cNvPr id="6" name="TextBox 5">
          <a:extLst>
            <a:ext uri="{FF2B5EF4-FFF2-40B4-BE49-F238E27FC236}">
              <a16:creationId xmlns:a16="http://schemas.microsoft.com/office/drawing/2014/main" id="{F8AFBF93-368C-544F-1B72-496956D69B9A}"/>
            </a:ext>
          </a:extLst>
        </xdr:cNvPr>
        <xdr:cNvSpPr txBox="1"/>
      </xdr:nvSpPr>
      <xdr:spPr>
        <a:xfrm>
          <a:off x="4044950" y="527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twoCellAnchor>
    <xdr:from>
      <xdr:col>3</xdr:col>
      <xdr:colOff>304800</xdr:colOff>
      <xdr:row>27</xdr:row>
      <xdr:rowOff>0</xdr:rowOff>
    </xdr:from>
    <xdr:to>
      <xdr:col>11</xdr:col>
      <xdr:colOff>50800</xdr:colOff>
      <xdr:row>29</xdr:row>
      <xdr:rowOff>25400</xdr:rowOff>
    </xdr:to>
    <xdr:sp macro="" textlink="">
      <xdr:nvSpPr>
        <xdr:cNvPr id="7" name="TextBox 6">
          <a:extLst>
            <a:ext uri="{FF2B5EF4-FFF2-40B4-BE49-F238E27FC236}">
              <a16:creationId xmlns:a16="http://schemas.microsoft.com/office/drawing/2014/main" id="{7DB45C8E-7804-0FE2-F743-5D2ECF1A98A6}"/>
            </a:ext>
          </a:extLst>
        </xdr:cNvPr>
        <xdr:cNvSpPr txBox="1"/>
      </xdr:nvSpPr>
      <xdr:spPr>
        <a:xfrm>
          <a:off x="2133600" y="4972050"/>
          <a:ext cx="4622800" cy="3937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dk1"/>
            </a:solidFill>
            <a:latin typeface="+mn-lt"/>
            <a:ea typeface="+mn-ea"/>
            <a:cs typeface="+mn-cs"/>
          </a:endParaRPr>
        </a:p>
      </xdr:txBody>
    </xdr:sp>
    <xdr:clientData/>
  </xdr:twoCellAnchor>
  <xdr:oneCellAnchor>
    <xdr:from>
      <xdr:col>3</xdr:col>
      <xdr:colOff>590550</xdr:colOff>
      <xdr:row>1</xdr:row>
      <xdr:rowOff>165100</xdr:rowOff>
    </xdr:from>
    <xdr:ext cx="3841750" cy="588410"/>
    <xdr:sp macro="" textlink="">
      <xdr:nvSpPr>
        <xdr:cNvPr id="8" name="TextBox 7">
          <a:extLst>
            <a:ext uri="{FF2B5EF4-FFF2-40B4-BE49-F238E27FC236}">
              <a16:creationId xmlns:a16="http://schemas.microsoft.com/office/drawing/2014/main" id="{9C1BA3A8-FA80-ADA3-DA10-5C7E4CB9C670}"/>
            </a:ext>
          </a:extLst>
        </xdr:cNvPr>
        <xdr:cNvSpPr txBox="1"/>
      </xdr:nvSpPr>
      <xdr:spPr>
        <a:xfrm>
          <a:off x="2419350" y="349250"/>
          <a:ext cx="3841750" cy="58841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CA" sz="1600" b="0" i="0">
              <a:solidFill>
                <a:schemeClr val="tx1"/>
              </a:solidFill>
              <a:effectLst/>
              <a:latin typeface="+mn-lt"/>
              <a:ea typeface="+mn-ea"/>
              <a:cs typeface="+mn-cs"/>
            </a:rPr>
            <a:t>An</a:t>
          </a:r>
          <a:r>
            <a:rPr lang="en-CA" sz="1600" b="0" i="0" baseline="0">
              <a:solidFill>
                <a:schemeClr val="tx1"/>
              </a:solidFill>
              <a:effectLst/>
              <a:latin typeface="+mn-lt"/>
              <a:ea typeface="+mn-ea"/>
              <a:cs typeface="+mn-cs"/>
            </a:rPr>
            <a:t> Interactive dashboard to visualize Product category and Sales trend</a:t>
          </a:r>
          <a:endParaRPr lang="en-CA" sz="1600"/>
        </a:p>
      </xdr:txBody>
    </xdr:sp>
    <xdr:clientData/>
  </xdr:oneCellAnchor>
  <xdr:oneCellAnchor>
    <xdr:from>
      <xdr:col>11</xdr:col>
      <xdr:colOff>514350</xdr:colOff>
      <xdr:row>7</xdr:row>
      <xdr:rowOff>95250</xdr:rowOff>
    </xdr:from>
    <xdr:ext cx="4584700" cy="2857500"/>
    <xdr:sp macro="" textlink="">
      <xdr:nvSpPr>
        <xdr:cNvPr id="9" name="TextBox 8">
          <a:extLst>
            <a:ext uri="{FF2B5EF4-FFF2-40B4-BE49-F238E27FC236}">
              <a16:creationId xmlns:a16="http://schemas.microsoft.com/office/drawing/2014/main" id="{A601065F-1912-CC56-E19B-EA650862A602}"/>
            </a:ext>
          </a:extLst>
        </xdr:cNvPr>
        <xdr:cNvSpPr txBox="1"/>
      </xdr:nvSpPr>
      <xdr:spPr>
        <a:xfrm>
          <a:off x="7219950" y="1384300"/>
          <a:ext cx="4584700" cy="2857500"/>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Overview</a:t>
          </a:r>
        </a:p>
        <a:p>
          <a:r>
            <a:rPr lang="en-US" sz="1100">
              <a:solidFill>
                <a:schemeClr val="tx1"/>
              </a:solidFill>
              <a:effectLst/>
              <a:latin typeface="+mn-lt"/>
              <a:ea typeface="+mn-ea"/>
              <a:cs typeface="+mn-cs"/>
            </a:rPr>
            <a:t>This doughnut chart visualizes the market share of a specific product category compared to the rest of the dataset.</a:t>
          </a:r>
        </a:p>
        <a:p>
          <a:endParaRPr lang="en-CA">
            <a:effectLst/>
          </a:endParaRPr>
        </a:p>
        <a:p>
          <a:r>
            <a:rPr lang="en-CA" b="1">
              <a:effectLst/>
            </a:rPr>
            <a:t>Insight</a:t>
          </a:r>
        </a:p>
        <a:p>
          <a:r>
            <a:rPr lang="en-CA">
              <a:effectLst/>
            </a:rPr>
            <a:t>This interactive dashboard uses a "one-vs-all"</a:t>
          </a:r>
          <a:r>
            <a:rPr lang="en-CA" baseline="0">
              <a:effectLst/>
            </a:rPr>
            <a:t> comparison where clothing accounts for 30% of total sales, while Electroncs and Home Decor represent 44% and 26% of their respective comparative views.</a:t>
          </a:r>
        </a:p>
        <a:p>
          <a:r>
            <a:rPr lang="en-CA">
              <a:effectLst/>
            </a:rPr>
            <a:t>The "Other Products" category acts as a dynamic group that automatically recalculates to represent the sum of all non-selected categories. </a:t>
          </a:r>
        </a:p>
        <a:p>
          <a:endParaRPr lang="en-CA">
            <a:effectLst/>
          </a:endParaRPr>
        </a:p>
        <a:p>
          <a:r>
            <a:rPr lang="en-CA" b="1">
              <a:effectLst/>
            </a:rPr>
            <a:t>Conclusion</a:t>
          </a:r>
        </a:p>
        <a:p>
          <a:r>
            <a:rPr lang="en-CA">
              <a:effectLst/>
            </a:rPr>
            <a:t>The chart effectively highlights individual category performance against the rest of the dataset, confirming that Electronics holds the strongest individual sales position at 44%.</a:t>
          </a:r>
        </a:p>
        <a:p>
          <a:endParaRPr lang="en-CA"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6350</xdr:colOff>
      <xdr:row>0</xdr:row>
      <xdr:rowOff>88900</xdr:rowOff>
    </xdr:from>
    <xdr:ext cx="1511300" cy="234950"/>
    <xdr:sp macro="" textlink="">
      <xdr:nvSpPr>
        <xdr:cNvPr id="2" name="TextBox 1">
          <a:extLst>
            <a:ext uri="{FF2B5EF4-FFF2-40B4-BE49-F238E27FC236}">
              <a16:creationId xmlns:a16="http://schemas.microsoft.com/office/drawing/2014/main" id="{80F6A47F-5196-3208-7EBE-189B59C103DE}"/>
            </a:ext>
          </a:extLst>
        </xdr:cNvPr>
        <xdr:cNvSpPr txBox="1"/>
      </xdr:nvSpPr>
      <xdr:spPr>
        <a:xfrm>
          <a:off x="876300" y="88900"/>
          <a:ext cx="1511300" cy="2349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100" b="1"/>
            <a:t>PART 3 PIVOT TABLE</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82550</xdr:colOff>
      <xdr:row>7</xdr:row>
      <xdr:rowOff>95250</xdr:rowOff>
    </xdr:from>
    <xdr:to>
      <xdr:col>10</xdr:col>
      <xdr:colOff>165100</xdr:colOff>
      <xdr:row>25</xdr:row>
      <xdr:rowOff>44450</xdr:rowOff>
    </xdr:to>
    <xdr:graphicFrame macro="">
      <xdr:nvGraphicFramePr>
        <xdr:cNvPr id="2" name="Chart 1">
          <a:extLst>
            <a:ext uri="{FF2B5EF4-FFF2-40B4-BE49-F238E27FC236}">
              <a16:creationId xmlns:a16="http://schemas.microsoft.com/office/drawing/2014/main" id="{A68625AE-7CD0-4FDD-ADA3-76E97B19B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127000</xdr:colOff>
      <xdr:row>2</xdr:row>
      <xdr:rowOff>35614</xdr:rowOff>
    </xdr:from>
    <xdr:ext cx="4267200" cy="530658"/>
    <xdr:sp macro="" textlink="">
      <xdr:nvSpPr>
        <xdr:cNvPr id="3" name="TextBox 2">
          <a:extLst>
            <a:ext uri="{FF2B5EF4-FFF2-40B4-BE49-F238E27FC236}">
              <a16:creationId xmlns:a16="http://schemas.microsoft.com/office/drawing/2014/main" id="{3480A04A-95DA-9D74-A7D0-CFD6EF63DC31}"/>
            </a:ext>
          </a:extLst>
        </xdr:cNvPr>
        <xdr:cNvSpPr txBox="1"/>
      </xdr:nvSpPr>
      <xdr:spPr>
        <a:xfrm>
          <a:off x="2565400" y="403914"/>
          <a:ext cx="4267200" cy="530658"/>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CA" sz="1400" b="1" i="0">
              <a:solidFill>
                <a:schemeClr val="tx1"/>
              </a:solidFill>
              <a:effectLst/>
              <a:latin typeface="+mn-lt"/>
              <a:ea typeface="+mn-ea"/>
              <a:cs typeface="+mn-cs"/>
            </a:rPr>
            <a:t> A line chart to display sales trends across different product categories</a:t>
          </a:r>
          <a:endParaRPr lang="en-CA" sz="1400" b="1"/>
        </a:p>
      </xdr:txBody>
    </xdr:sp>
    <xdr:clientData/>
  </xdr:oneCellAnchor>
  <xdr:oneCellAnchor>
    <xdr:from>
      <xdr:col>11</xdr:col>
      <xdr:colOff>107950</xdr:colOff>
      <xdr:row>9</xdr:row>
      <xdr:rowOff>152400</xdr:rowOff>
    </xdr:from>
    <xdr:ext cx="4718050" cy="2355850"/>
    <xdr:sp macro="" textlink="">
      <xdr:nvSpPr>
        <xdr:cNvPr id="4" name="TextBox 3">
          <a:extLst>
            <a:ext uri="{FF2B5EF4-FFF2-40B4-BE49-F238E27FC236}">
              <a16:creationId xmlns:a16="http://schemas.microsoft.com/office/drawing/2014/main" id="{354987AF-CF23-3C59-990A-F18EFF691372}"/>
            </a:ext>
          </a:extLst>
        </xdr:cNvPr>
        <xdr:cNvSpPr txBox="1"/>
      </xdr:nvSpPr>
      <xdr:spPr>
        <a:xfrm>
          <a:off x="6813550" y="1809750"/>
          <a:ext cx="4718050" cy="235585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100"/>
            <a:t> </a:t>
          </a:r>
          <a:r>
            <a:rPr lang="en-CA" sz="1100" b="1"/>
            <a:t>Insight</a:t>
          </a:r>
          <a:endParaRPr lang="en-CA" sz="1100"/>
        </a:p>
        <a:p>
          <a:r>
            <a:rPr lang="en-CA" sz="1100"/>
            <a:t>The line chart confirms that Electronics is the top-performing category with the highest sum of purchase history at 31,260.</a:t>
          </a:r>
        </a:p>
        <a:p>
          <a:r>
            <a:rPr lang="en-CA" sz="1100"/>
            <a:t>Clothing serves as the middle performer with a purchase sum of 21,600, while Home Decor trails at 17,920.</a:t>
          </a:r>
        </a:p>
        <a:p>
          <a:r>
            <a:rPr lang="en-CA" sz="1100"/>
            <a:t>These raw values align with the interactive donut chart, where Electronics represents a leading 44% of total sales when isolated.</a:t>
          </a:r>
        </a:p>
        <a:p>
          <a:r>
            <a:rPr lang="en-CA" sz="1100" b="1"/>
            <a:t>Conclusion</a:t>
          </a:r>
        </a:p>
        <a:p>
          <a:r>
            <a:rPr lang="en-CA" sz="1100"/>
            <a:t> There is a significant performance gap of 13,340 in purchase volume between the highest category (Electronics) and the lowest (Home Decor).</a:t>
          </a:r>
          <a:r>
            <a:rPr lang="en-CA" sz="1100" baseline="0"/>
            <a:t> </a:t>
          </a:r>
          <a:r>
            <a:rPr lang="en-CA" sz="1100"/>
            <a:t>Strategic focus should remain on Electronics to sustain current momentum, while Home Decor requires a targeted review to increase its 26% market share.</a:t>
          </a:r>
        </a:p>
      </xdr:txBody>
    </xdr:sp>
    <xdr:clientData/>
  </xdr:oneCellAnchor>
  <xdr:oneCellAnchor>
    <xdr:from>
      <xdr:col>1</xdr:col>
      <xdr:colOff>69850</xdr:colOff>
      <xdr:row>1</xdr:row>
      <xdr:rowOff>133350</xdr:rowOff>
    </xdr:from>
    <xdr:ext cx="184731" cy="264560"/>
    <xdr:sp macro="" textlink="">
      <xdr:nvSpPr>
        <xdr:cNvPr id="5" name="TextBox 4">
          <a:extLst>
            <a:ext uri="{FF2B5EF4-FFF2-40B4-BE49-F238E27FC236}">
              <a16:creationId xmlns:a16="http://schemas.microsoft.com/office/drawing/2014/main" id="{FF76E2B8-449F-D3C3-495D-B0A2706762D2}"/>
            </a:ext>
          </a:extLst>
        </xdr:cNvPr>
        <xdr:cNvSpPr txBox="1"/>
      </xdr:nvSpPr>
      <xdr:spPr>
        <a:xfrm>
          <a:off x="679450" y="31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0</xdr:col>
      <xdr:colOff>342900</xdr:colOff>
      <xdr:row>1</xdr:row>
      <xdr:rowOff>88900</xdr:rowOff>
    </xdr:from>
    <xdr:ext cx="673808" cy="264560"/>
    <xdr:sp macro="" textlink="">
      <xdr:nvSpPr>
        <xdr:cNvPr id="6" name="TextBox 5">
          <a:extLst>
            <a:ext uri="{FF2B5EF4-FFF2-40B4-BE49-F238E27FC236}">
              <a16:creationId xmlns:a16="http://schemas.microsoft.com/office/drawing/2014/main" id="{3FC8B29D-5AE1-133A-1923-4C856DA968F8}"/>
            </a:ext>
          </a:extLst>
        </xdr:cNvPr>
        <xdr:cNvSpPr txBox="1"/>
      </xdr:nvSpPr>
      <xdr:spPr>
        <a:xfrm>
          <a:off x="342900" y="273050"/>
          <a:ext cx="673808" cy="264560"/>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b="1"/>
            <a:t>PART 3</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190500</xdr:colOff>
      <xdr:row>0</xdr:row>
      <xdr:rowOff>133350</xdr:rowOff>
    </xdr:from>
    <xdr:to>
      <xdr:col>6</xdr:col>
      <xdr:colOff>254000</xdr:colOff>
      <xdr:row>11</xdr:row>
      <xdr:rowOff>19050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39E6CA65-BEF8-21A0-BF91-361A415F121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981450" y="133350"/>
              <a:ext cx="1282700" cy="19113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254000</xdr:colOff>
      <xdr:row>0</xdr:row>
      <xdr:rowOff>165100</xdr:rowOff>
    </xdr:from>
    <xdr:to>
      <xdr:col>15</xdr:col>
      <xdr:colOff>501650</xdr:colOff>
      <xdr:row>10</xdr:row>
      <xdr:rowOff>171450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8FA34D89-D037-056A-923D-108FC931461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921750" y="165100"/>
              <a:ext cx="2076450" cy="18478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285750</xdr:colOff>
      <xdr:row>0</xdr:row>
      <xdr:rowOff>152400</xdr:rowOff>
    </xdr:from>
    <xdr:to>
      <xdr:col>9</xdr:col>
      <xdr:colOff>285750</xdr:colOff>
      <xdr:row>11</xdr:row>
      <xdr:rowOff>31750</xdr:rowOff>
    </xdr:to>
    <mc:AlternateContent xmlns:mc="http://schemas.openxmlformats.org/markup-compatibility/2006">
      <mc:Choice xmlns:a14="http://schemas.microsoft.com/office/drawing/2010/main" Requires="a14">
        <xdr:graphicFrame macro="">
          <xdr:nvGraphicFramePr>
            <xdr:cNvPr id="4" name="Purchase History">
              <a:extLst>
                <a:ext uri="{FF2B5EF4-FFF2-40B4-BE49-F238E27FC236}">
                  <a16:creationId xmlns:a16="http://schemas.microsoft.com/office/drawing/2014/main" id="{7CF3DBCB-90EA-DF3B-0EFF-8B82B85ED677}"/>
                </a:ext>
              </a:extLst>
            </xdr:cNvPr>
            <xdr:cNvGraphicFramePr/>
          </xdr:nvGraphicFramePr>
          <xdr:xfrm>
            <a:off x="0" y="0"/>
            <a:ext cx="0" cy="0"/>
          </xdr:xfrm>
          <a:graphic>
            <a:graphicData uri="http://schemas.microsoft.com/office/drawing/2010/slicer">
              <sle:slicer xmlns:sle="http://schemas.microsoft.com/office/drawing/2010/slicer" name="Purchase History"/>
            </a:graphicData>
          </a:graphic>
        </xdr:graphicFrame>
      </mc:Choice>
      <mc:Fallback>
        <xdr:sp macro="" textlink="">
          <xdr:nvSpPr>
            <xdr:cNvPr id="0" name=""/>
            <xdr:cNvSpPr>
              <a:spLocks noTextEdit="1"/>
            </xdr:cNvSpPr>
          </xdr:nvSpPr>
          <xdr:spPr>
            <a:xfrm>
              <a:off x="5295900" y="152400"/>
              <a:ext cx="1828800" cy="1905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457200</xdr:colOff>
      <xdr:row>0</xdr:row>
      <xdr:rowOff>177800</xdr:rowOff>
    </xdr:from>
    <xdr:to>
      <xdr:col>12</xdr:col>
      <xdr:colOff>127000</xdr:colOff>
      <xdr:row>11</xdr:row>
      <xdr:rowOff>12700</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2151BD8A-A901-A869-7FAC-3629555F4DA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296150" y="177800"/>
              <a:ext cx="1498600" cy="18605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57150</xdr:colOff>
      <xdr:row>19</xdr:row>
      <xdr:rowOff>165100</xdr:rowOff>
    </xdr:from>
    <xdr:ext cx="5073650" cy="2203450"/>
    <xdr:sp macro="" textlink="">
      <xdr:nvSpPr>
        <xdr:cNvPr id="6" name="TextBox 5">
          <a:extLst>
            <a:ext uri="{FF2B5EF4-FFF2-40B4-BE49-F238E27FC236}">
              <a16:creationId xmlns:a16="http://schemas.microsoft.com/office/drawing/2014/main" id="{85688527-3EB1-850C-C11C-20F19DDBA357}"/>
            </a:ext>
          </a:extLst>
        </xdr:cNvPr>
        <xdr:cNvSpPr txBox="1"/>
      </xdr:nvSpPr>
      <xdr:spPr>
        <a:xfrm>
          <a:off x="57150" y="3663950"/>
          <a:ext cx="5073650" cy="22034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100" b="1"/>
            <a:t>Question 2</a:t>
          </a:r>
        </a:p>
        <a:p>
          <a:r>
            <a:rPr lang="en-CA" sz="1100" b="1"/>
            <a:t>The Proportion</a:t>
          </a:r>
        </a:p>
        <a:p>
          <a:r>
            <a:rPr lang="en-CA" sz="1100"/>
            <a:t> Females: 46.84% of total items.</a:t>
          </a:r>
        </a:p>
        <a:p>
          <a:r>
            <a:rPr lang="en-CA" sz="1100"/>
            <a:t> Males: 53.16% of total items.</a:t>
          </a:r>
        </a:p>
        <a:p>
          <a:r>
            <a:rPr lang="en-CA" sz="1100" b="1"/>
            <a:t>Insight</a:t>
          </a:r>
        </a:p>
        <a:p>
          <a:r>
            <a:rPr lang="en-CA" sz="1100"/>
            <a:t>- Males represent the majority of the consumer base, accounting for over half of all purchases at 53.16%.</a:t>
          </a:r>
        </a:p>
        <a:p>
          <a:r>
            <a:rPr lang="en-CA" sz="1100"/>
            <a:t> While females have a lower overall purchase proportion (46.84%), they show a massive dominance in the Home Decor category, where they account for 25.15% of the total market compared to just 0.17% for males.</a:t>
          </a:r>
        </a:p>
        <a:p>
          <a:r>
            <a:rPr lang="en-CA" sz="1100"/>
            <a:t>Conversely, the Electronics category is the primary driver for male purchasing volume, with males contributing 36.54% to the total items purchased in that segment alone.</a:t>
          </a:r>
        </a:p>
        <a:p>
          <a:r>
            <a:rPr lang="en-CA" sz="1100"/>
            <a:t>	</a:t>
          </a:r>
        </a:p>
      </xdr:txBody>
    </xdr:sp>
    <xdr:clientData/>
  </xdr:oneCellAnchor>
  <xdr:oneCellAnchor>
    <xdr:from>
      <xdr:col>0</xdr:col>
      <xdr:colOff>260350</xdr:colOff>
      <xdr:row>35</xdr:row>
      <xdr:rowOff>6350</xdr:rowOff>
    </xdr:from>
    <xdr:ext cx="184731" cy="264560"/>
    <xdr:sp macro="" textlink="">
      <xdr:nvSpPr>
        <xdr:cNvPr id="7" name="TextBox 6">
          <a:extLst>
            <a:ext uri="{FF2B5EF4-FFF2-40B4-BE49-F238E27FC236}">
              <a16:creationId xmlns:a16="http://schemas.microsoft.com/office/drawing/2014/main" id="{89BFD9DC-1559-1DA2-F8FC-D90DCA32B70E}"/>
            </a:ext>
          </a:extLst>
        </xdr:cNvPr>
        <xdr:cNvSpPr txBox="1"/>
      </xdr:nvSpPr>
      <xdr:spPr>
        <a:xfrm>
          <a:off x="260350" y="645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0</xdr:col>
      <xdr:colOff>152400</xdr:colOff>
      <xdr:row>36</xdr:row>
      <xdr:rowOff>139700</xdr:rowOff>
    </xdr:from>
    <xdr:ext cx="4984750" cy="2857500"/>
    <xdr:sp macro="" textlink="">
      <xdr:nvSpPr>
        <xdr:cNvPr id="8" name="TextBox 7">
          <a:extLst>
            <a:ext uri="{FF2B5EF4-FFF2-40B4-BE49-F238E27FC236}">
              <a16:creationId xmlns:a16="http://schemas.microsoft.com/office/drawing/2014/main" id="{8329BCCA-8E6D-18A8-0256-43D89D881E77}"/>
            </a:ext>
          </a:extLst>
        </xdr:cNvPr>
        <xdr:cNvSpPr txBox="1"/>
      </xdr:nvSpPr>
      <xdr:spPr>
        <a:xfrm>
          <a:off x="152400" y="6769100"/>
          <a:ext cx="4984750" cy="285750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100" b="1"/>
            <a:t>Question 4</a:t>
          </a:r>
        </a:p>
        <a:p>
          <a:r>
            <a:rPr lang="en-CA" sz="1100"/>
            <a:t> Aggregate (Sum) Purchase History by Category</a:t>
          </a:r>
        </a:p>
        <a:p>
          <a:r>
            <a:rPr lang="en-CA" sz="1100" b="1"/>
            <a:t>-</a:t>
          </a:r>
          <a:r>
            <a:rPr lang="en-CA" sz="1100" b="1" baseline="0"/>
            <a:t> </a:t>
          </a:r>
          <a:r>
            <a:rPr lang="en-CA" sz="1100" b="1"/>
            <a:t>Clothing: </a:t>
          </a:r>
          <a:r>
            <a:rPr lang="en-CA" sz="1100"/>
            <a:t>Females account for 14.06% and Males account for 16.46% of the total purchase history.</a:t>
          </a:r>
        </a:p>
        <a:p>
          <a:r>
            <a:rPr lang="en-CA" sz="1100" b="1"/>
            <a:t>-</a:t>
          </a:r>
          <a:r>
            <a:rPr lang="en-CA" sz="1100" b="1" baseline="0"/>
            <a:t> </a:t>
          </a:r>
          <a:r>
            <a:rPr lang="en-CA" sz="1100" b="1"/>
            <a:t>Electronics: </a:t>
          </a:r>
          <a:r>
            <a:rPr lang="en-CA" sz="1100"/>
            <a:t>Females account for 7.63% and Males account for 36.54% of the total purchase history.</a:t>
          </a:r>
        </a:p>
        <a:p>
          <a:r>
            <a:rPr lang="en-CA" sz="1100" b="1"/>
            <a:t>-</a:t>
          </a:r>
          <a:r>
            <a:rPr lang="en-CA" sz="1100" b="1" baseline="0"/>
            <a:t> </a:t>
          </a:r>
          <a:r>
            <a:rPr lang="en-CA" sz="1100" b="1"/>
            <a:t>Home Decor: </a:t>
          </a:r>
          <a:r>
            <a:rPr lang="en-CA" sz="1100"/>
            <a:t>Females account for 25.15% and Males account for 0.17% of the total purchase history.</a:t>
          </a:r>
        </a:p>
        <a:p>
          <a:r>
            <a:rPr lang="en-CA" sz="1100" b="1"/>
            <a:t>Insight</a:t>
          </a:r>
        </a:p>
        <a:p>
          <a:r>
            <a:rPr lang="en-CA" sz="1100"/>
            <a:t> - Supply chain efforts for Home Decor should be heavily tailored toward the female demographic, as they represent nearly the entire aggregate history for that segment.</a:t>
          </a:r>
        </a:p>
        <a:p>
          <a:r>
            <a:rPr lang="en-CA" sz="1100"/>
            <a:t>-</a:t>
          </a:r>
          <a:r>
            <a:rPr lang="en-CA" sz="1100" baseline="0"/>
            <a:t> </a:t>
          </a:r>
          <a:r>
            <a:rPr lang="en-CA" sz="1100"/>
            <a:t>The Electronics inventory requires the most robust logistics support for male consumers, who drive the largest single aggregate volume across the entire company.- - Because Clothing shows the most balanced aggregate distribution between genders, marketing and stock levels should remain neutral and diverse to cater to both groups effectively.</a:t>
          </a:r>
        </a:p>
      </xdr:txBody>
    </xdr:sp>
    <xdr:clientData/>
  </xdr:oneCellAnchor>
  <xdr:oneCellAnchor>
    <xdr:from>
      <xdr:col>7</xdr:col>
      <xdr:colOff>25400</xdr:colOff>
      <xdr:row>26</xdr:row>
      <xdr:rowOff>158750</xdr:rowOff>
    </xdr:from>
    <xdr:ext cx="5467350" cy="3384550"/>
    <xdr:sp macro="" textlink="">
      <xdr:nvSpPr>
        <xdr:cNvPr id="9" name="TextBox 8">
          <a:extLst>
            <a:ext uri="{FF2B5EF4-FFF2-40B4-BE49-F238E27FC236}">
              <a16:creationId xmlns:a16="http://schemas.microsoft.com/office/drawing/2014/main" id="{695867F1-5120-D436-1020-DBE5606FD69E}"/>
            </a:ext>
          </a:extLst>
        </xdr:cNvPr>
        <xdr:cNvSpPr txBox="1"/>
      </xdr:nvSpPr>
      <xdr:spPr>
        <a:xfrm>
          <a:off x="5645150" y="4946650"/>
          <a:ext cx="5467350" cy="33845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100" b="1"/>
            <a:t>Question 3</a:t>
          </a:r>
        </a:p>
        <a:p>
          <a:r>
            <a:rPr lang="en-CA" sz="1100" b="0"/>
            <a:t>To address the purchasing tendencies, we need to compare the gender performance within each specific category.</a:t>
          </a:r>
        </a:p>
        <a:p>
          <a:r>
            <a:rPr lang="en-CA" sz="1100" b="1"/>
            <a:t>Purchasing Tendencies by Category</a:t>
          </a:r>
        </a:p>
        <a:p>
          <a:r>
            <a:rPr lang="en-CA" sz="1100" b="1"/>
            <a:t>Clothing:</a:t>
          </a:r>
          <a:r>
            <a:rPr lang="en-CA" sz="1100" b="0"/>
            <a:t> Males demonstrate a higher purchasing tendency in this category at 16.46%, compared to females at 14.06%.</a:t>
          </a:r>
        </a:p>
        <a:p>
          <a:r>
            <a:rPr lang="en-CA" sz="1100" b="1"/>
            <a:t>Electronics: </a:t>
          </a:r>
          <a:r>
            <a:rPr lang="en-CA" sz="1100" b="0"/>
            <a:t>Males significantly dominate this category with a purchasing tendency of 36.54%, while females contribute only 7.63%.</a:t>
          </a:r>
        </a:p>
        <a:p>
          <a:r>
            <a:rPr lang="en-CA" sz="1100" b="1"/>
            <a:t>Home Decor: </a:t>
          </a:r>
          <a:r>
            <a:rPr lang="en-CA" sz="1100" b="0"/>
            <a:t>Females show an overwhelming purchasing tendency at 25.15%, whereas males have a negligible presence at 0.17%.</a:t>
          </a:r>
        </a:p>
        <a:p>
          <a:r>
            <a:rPr lang="en-CA" sz="1100" b="1"/>
            <a:t>Overall Winner: </a:t>
          </a:r>
          <a:r>
            <a:rPr lang="en-CA" sz="1100" b="0"/>
            <a:t>Males have the overall higher purchasing history, accounting for 53.16% of the grand total compared to 46.84% for females.</a:t>
          </a:r>
        </a:p>
        <a:p>
          <a:r>
            <a:rPr lang="en-CA" sz="1100" b="0"/>
            <a:t> </a:t>
          </a:r>
          <a:r>
            <a:rPr lang="en-CA" sz="1100" b="1"/>
            <a:t>Insight</a:t>
          </a:r>
        </a:p>
        <a:p>
          <a:r>
            <a:rPr lang="en-CA" sz="1100" b="0"/>
            <a:t>-</a:t>
          </a:r>
          <a:r>
            <a:rPr lang="en-CA" sz="1100" b="0" baseline="0"/>
            <a:t> </a:t>
          </a:r>
          <a:r>
            <a:rPr lang="en-CA" sz="1100" b="0"/>
            <a:t>The data reveals a stark gender divide in specialized interests, with females nearly monopolizing the Home Decor market.</a:t>
          </a:r>
        </a:p>
        <a:p>
          <a:r>
            <a:rPr lang="en-CA" sz="1100" b="0"/>
            <a:t>-</a:t>
          </a:r>
          <a:r>
            <a:rPr lang="en-CA" sz="1100" b="0" baseline="0"/>
            <a:t> </a:t>
          </a:r>
          <a:r>
            <a:rPr lang="en-CA" sz="1100" b="0"/>
            <a:t>Males drive the bulk of the company's volume through a commanding lead in Electronics, which is the highest-performing category overall.</a:t>
          </a:r>
        </a:p>
        <a:p>
          <a:r>
            <a:rPr lang="en-CA" sz="1100" b="0"/>
            <a:t>-</a:t>
          </a:r>
          <a:r>
            <a:rPr lang="en-CA" sz="1100" b="0" baseline="0"/>
            <a:t> </a:t>
          </a:r>
          <a:r>
            <a:rPr lang="en-CA" sz="1100" b="0"/>
            <a:t>While the Clothing category is the most gender-balanced, males still maintain a slight edge in total purchase volume within that segment.</a:t>
          </a:r>
        </a:p>
      </xdr:txBody>
    </xdr:sp>
    <xdr:clientData/>
  </xdr:oneCellAnchor>
  <xdr:twoCellAnchor>
    <xdr:from>
      <xdr:col>2</xdr:col>
      <xdr:colOff>469900</xdr:colOff>
      <xdr:row>53</xdr:row>
      <xdr:rowOff>82550</xdr:rowOff>
    </xdr:from>
    <xdr:to>
      <xdr:col>12</xdr:col>
      <xdr:colOff>444500</xdr:colOff>
      <xdr:row>64</xdr:row>
      <xdr:rowOff>88900</xdr:rowOff>
    </xdr:to>
    <xdr:sp macro="" textlink="">
      <xdr:nvSpPr>
        <xdr:cNvPr id="10" name="TextBox 9">
          <a:extLst>
            <a:ext uri="{FF2B5EF4-FFF2-40B4-BE49-F238E27FC236}">
              <a16:creationId xmlns:a16="http://schemas.microsoft.com/office/drawing/2014/main" id="{084C8AF6-9E7A-98E3-5181-F5FFA5BAE95C}"/>
            </a:ext>
          </a:extLst>
        </xdr:cNvPr>
        <xdr:cNvSpPr txBox="1"/>
      </xdr:nvSpPr>
      <xdr:spPr>
        <a:xfrm>
          <a:off x="3054350" y="9842500"/>
          <a:ext cx="6057900" cy="20320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dk1"/>
              </a:solidFill>
              <a:latin typeface="+mn-lt"/>
              <a:ea typeface="+mn-ea"/>
              <a:cs typeface="+mn-cs"/>
            </a:rPr>
            <a:t>Executive Summary: Consumer Purchase Behavior Analysis</a:t>
          </a:r>
        </a:p>
        <a:p>
          <a:r>
            <a:rPr lang="en-US" sz="1100">
              <a:solidFill>
                <a:schemeClr val="dk1"/>
              </a:solidFill>
              <a:latin typeface="+mn-lt"/>
              <a:ea typeface="+mn-ea"/>
              <a:cs typeface="+mn-cs"/>
            </a:rPr>
            <a:t>This analysis evaluates sales performance across Clothing, Electronics, and Home Decor to optimize supply management and marketing strategies.</a:t>
          </a:r>
        </a:p>
        <a:p>
          <a:r>
            <a:rPr lang="en-US" sz="1100">
              <a:solidFill>
                <a:schemeClr val="dk1"/>
              </a:solidFill>
              <a:latin typeface="+mn-lt"/>
              <a:ea typeface="+mn-ea"/>
              <a:cs typeface="+mn-cs"/>
            </a:rPr>
            <a:t>- Gender Distribution: Males represent the primary consumer segment, accounting for 53.16% of total purchase history, while females account for 46.84%.</a:t>
          </a:r>
        </a:p>
        <a:p>
          <a:r>
            <a:rPr lang="en-US" sz="1100">
              <a:solidFill>
                <a:schemeClr val="dk1"/>
              </a:solidFill>
              <a:latin typeface="+mn-lt"/>
              <a:ea typeface="+mn-ea"/>
              <a:cs typeface="+mn-cs"/>
            </a:rPr>
            <a:t>-</a:t>
          </a:r>
          <a:r>
            <a:rPr lang="en-US" sz="1100" baseline="0">
              <a:solidFill>
                <a:schemeClr val="dk1"/>
              </a:solidFill>
              <a:latin typeface="+mn-lt"/>
              <a:ea typeface="+mn-ea"/>
              <a:cs typeface="+mn-cs"/>
            </a:rPr>
            <a:t> </a:t>
          </a:r>
          <a:r>
            <a:rPr lang="en-US" sz="1100">
              <a:solidFill>
                <a:schemeClr val="dk1"/>
              </a:solidFill>
              <a:latin typeface="+mn-lt"/>
              <a:ea typeface="+mn-ea"/>
              <a:cs typeface="+mn-cs"/>
            </a:rPr>
            <a:t>Category Specialization: High-impact trends were identified, specifically female dominance in Home Decor (25.15%) and male dominance in Electronics (36.54%), indicating a need for gender-targeted inventory allocation.</a:t>
          </a:r>
        </a:p>
        <a:p>
          <a:r>
            <a:rPr lang="en-US" sz="1100">
              <a:solidFill>
                <a:schemeClr val="dk1"/>
              </a:solidFill>
              <a:latin typeface="+mn-lt"/>
              <a:ea typeface="+mn-ea"/>
              <a:cs typeface="+mn-cs"/>
            </a:rPr>
            <a:t> </a:t>
          </a:r>
          <a:r>
            <a:rPr lang="en-US" sz="1100" b="1">
              <a:solidFill>
                <a:schemeClr val="dk1"/>
              </a:solidFill>
              <a:latin typeface="+mn-lt"/>
              <a:ea typeface="+mn-ea"/>
              <a:cs typeface="+mn-cs"/>
            </a:rPr>
            <a:t>Strategic Recommendation</a:t>
          </a:r>
          <a:r>
            <a:rPr lang="en-US" sz="1100">
              <a:solidFill>
                <a:schemeClr val="dk1"/>
              </a:solidFill>
              <a:latin typeface="+mn-lt"/>
              <a:ea typeface="+mn-ea"/>
              <a:cs typeface="+mn-cs"/>
            </a:rPr>
            <a:t>: To maximize ROI, the company should focus Electronics logistics on male-centric channels and Home Decor supply chains on female-centric markets, while maintaining a balanced inventory for Clothing, which shows the most equitable distribution.</a:t>
          </a:r>
        </a:p>
      </xdr:txBody>
    </xdr:sp>
    <xdr:clientData/>
  </xdr:twoCellAnchor>
  <xdr:oneCellAnchor>
    <xdr:from>
      <xdr:col>0</xdr:col>
      <xdr:colOff>1054101</xdr:colOff>
      <xdr:row>0</xdr:row>
      <xdr:rowOff>63500</xdr:rowOff>
    </xdr:from>
    <xdr:ext cx="622300" cy="234950"/>
    <xdr:sp macro="" textlink="">
      <xdr:nvSpPr>
        <xdr:cNvPr id="11" name="TextBox 10">
          <a:extLst>
            <a:ext uri="{FF2B5EF4-FFF2-40B4-BE49-F238E27FC236}">
              <a16:creationId xmlns:a16="http://schemas.microsoft.com/office/drawing/2014/main" id="{5A438D86-62CF-9BAC-75CC-026E5D15D595}"/>
            </a:ext>
          </a:extLst>
        </xdr:cNvPr>
        <xdr:cNvSpPr txBox="1"/>
      </xdr:nvSpPr>
      <xdr:spPr>
        <a:xfrm>
          <a:off x="1054101" y="63500"/>
          <a:ext cx="622300" cy="23495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100" b="1"/>
            <a:t>PART 4</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OLADE" refreshedDate="46073.841683217594" createdVersion="8" refreshedVersion="8" minRefreshableVersion="3" recordCount="60" xr:uid="{2AFFCA9B-B201-4D51-9B39-BBCD208ECF1D}">
  <cacheSource type="worksheet">
    <worksheetSource name="Product_Purchase"/>
  </cacheSource>
  <cacheFields count="6">
    <cacheField name="Customer ID" numFmtId="0">
      <sharedItems containsSemiMixedTypes="0" containsString="0" containsNumber="1" containsInteger="1" minValue="1" maxValue="60"/>
    </cacheField>
    <cacheField name="Age" numFmtId="0">
      <sharedItems containsSemiMixedTypes="0" containsString="0" containsNumber="1" containsInteger="1" minValue="18" maxValue="57"/>
    </cacheField>
    <cacheField name="Gender" numFmtId="0">
      <sharedItems count="2">
        <s v="Female"/>
        <s v="Male"/>
      </sharedItems>
    </cacheField>
    <cacheField name="City" numFmtId="0">
      <sharedItems count="10">
        <s v="New York"/>
        <s v="Los Angeles"/>
        <s v="Chicago"/>
        <s v="Houston"/>
        <s v="San Francisco"/>
        <s v="Miami"/>
        <s v="Dallas"/>
        <s v="Seattle"/>
        <s v="Boston"/>
        <s v="Atlanta"/>
      </sharedItems>
    </cacheField>
    <cacheField name="Purchase History" numFmtId="0">
      <sharedItems containsSemiMixedTypes="0" containsString="0" containsNumber="1" containsInteger="1" minValue="80" maxValue="3500" count="42">
        <n v="1500"/>
        <n v="2000"/>
        <n v="500"/>
        <n v="100"/>
        <n v="3000"/>
        <n v="1200"/>
        <n v="800"/>
        <n v="250"/>
        <n v="700"/>
        <n v="1800"/>
        <n v="900"/>
        <n v="600"/>
        <n v="200"/>
        <n v="2500"/>
        <n v="1100"/>
        <n v="350"/>
        <n v="150"/>
        <n v="2800"/>
        <n v="1300"/>
        <n v="300"/>
        <n v="1700"/>
        <n v="1400"/>
        <n v="120"/>
        <n v="3200"/>
        <n v="1000"/>
        <n v="400"/>
        <n v="750"/>
        <n v="1900"/>
        <n v="950"/>
        <n v="650"/>
        <n v="180"/>
        <n v="2700"/>
        <n v="1250"/>
        <n v="850"/>
        <n v="320"/>
        <n v="2100"/>
        <n v="1600"/>
        <n v="2200"/>
        <n v="80"/>
        <n v="3500"/>
        <n v="280"/>
        <n v="2300"/>
      </sharedItems>
    </cacheField>
    <cacheField name="Product Category" numFmtId="0">
      <sharedItems count="3">
        <s v="Electronics"/>
        <s v="Clothing"/>
        <s v="Home Decor"/>
      </sharedItems>
    </cacheField>
  </cacheFields>
  <extLst>
    <ext xmlns:x14="http://schemas.microsoft.com/office/spreadsheetml/2009/9/main" uri="{725AE2AE-9491-48be-B2B4-4EB974FC3084}">
      <x14:pivotCacheDefinition pivotCacheId="2120474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
    <n v="28"/>
    <x v="0"/>
    <x v="0"/>
    <x v="0"/>
    <x v="0"/>
  </r>
  <r>
    <n v="2"/>
    <n v="35"/>
    <x v="1"/>
    <x v="1"/>
    <x v="1"/>
    <x v="1"/>
  </r>
  <r>
    <n v="3"/>
    <n v="42"/>
    <x v="0"/>
    <x v="2"/>
    <x v="2"/>
    <x v="2"/>
  </r>
  <r>
    <n v="4"/>
    <n v="19"/>
    <x v="1"/>
    <x v="3"/>
    <x v="3"/>
    <x v="0"/>
  </r>
  <r>
    <n v="5"/>
    <n v="56"/>
    <x v="1"/>
    <x v="4"/>
    <x v="4"/>
    <x v="0"/>
  </r>
  <r>
    <n v="6"/>
    <n v="41"/>
    <x v="0"/>
    <x v="5"/>
    <x v="5"/>
    <x v="1"/>
  </r>
  <r>
    <n v="7"/>
    <n v="33"/>
    <x v="1"/>
    <x v="6"/>
    <x v="6"/>
    <x v="0"/>
  </r>
  <r>
    <n v="8"/>
    <n v="24"/>
    <x v="0"/>
    <x v="7"/>
    <x v="7"/>
    <x v="2"/>
  </r>
  <r>
    <n v="9"/>
    <n v="29"/>
    <x v="1"/>
    <x v="8"/>
    <x v="8"/>
    <x v="1"/>
  </r>
  <r>
    <n v="10"/>
    <n v="45"/>
    <x v="0"/>
    <x v="9"/>
    <x v="9"/>
    <x v="2"/>
  </r>
  <r>
    <n v="11"/>
    <n v="31"/>
    <x v="0"/>
    <x v="0"/>
    <x v="10"/>
    <x v="0"/>
  </r>
  <r>
    <n v="12"/>
    <n v="39"/>
    <x v="1"/>
    <x v="1"/>
    <x v="0"/>
    <x v="1"/>
  </r>
  <r>
    <n v="13"/>
    <n v="37"/>
    <x v="0"/>
    <x v="2"/>
    <x v="11"/>
    <x v="2"/>
  </r>
  <r>
    <n v="14"/>
    <n v="22"/>
    <x v="1"/>
    <x v="3"/>
    <x v="12"/>
    <x v="0"/>
  </r>
  <r>
    <n v="15"/>
    <n v="44"/>
    <x v="1"/>
    <x v="4"/>
    <x v="13"/>
    <x v="0"/>
  </r>
  <r>
    <n v="16"/>
    <n v="27"/>
    <x v="0"/>
    <x v="5"/>
    <x v="14"/>
    <x v="1"/>
  </r>
  <r>
    <n v="17"/>
    <n v="30"/>
    <x v="1"/>
    <x v="6"/>
    <x v="5"/>
    <x v="0"/>
  </r>
  <r>
    <n v="18"/>
    <n v="26"/>
    <x v="0"/>
    <x v="7"/>
    <x v="15"/>
    <x v="2"/>
  </r>
  <r>
    <n v="19"/>
    <n v="34"/>
    <x v="1"/>
    <x v="8"/>
    <x v="6"/>
    <x v="1"/>
  </r>
  <r>
    <n v="20"/>
    <n v="48"/>
    <x v="0"/>
    <x v="9"/>
    <x v="1"/>
    <x v="2"/>
  </r>
  <r>
    <n v="21"/>
    <n v="39"/>
    <x v="1"/>
    <x v="0"/>
    <x v="6"/>
    <x v="0"/>
  </r>
  <r>
    <n v="22"/>
    <n v="28"/>
    <x v="0"/>
    <x v="1"/>
    <x v="5"/>
    <x v="1"/>
  </r>
  <r>
    <n v="23"/>
    <n v="43"/>
    <x v="0"/>
    <x v="2"/>
    <x v="8"/>
    <x v="2"/>
  </r>
  <r>
    <n v="24"/>
    <n v="21"/>
    <x v="1"/>
    <x v="3"/>
    <x v="16"/>
    <x v="0"/>
  </r>
  <r>
    <n v="25"/>
    <n v="55"/>
    <x v="1"/>
    <x v="4"/>
    <x v="17"/>
    <x v="0"/>
  </r>
  <r>
    <n v="26"/>
    <n v="40"/>
    <x v="0"/>
    <x v="5"/>
    <x v="18"/>
    <x v="1"/>
  </r>
  <r>
    <n v="27"/>
    <n v="32"/>
    <x v="1"/>
    <x v="6"/>
    <x v="10"/>
    <x v="0"/>
  </r>
  <r>
    <n v="28"/>
    <n v="23"/>
    <x v="0"/>
    <x v="7"/>
    <x v="19"/>
    <x v="2"/>
  </r>
  <r>
    <n v="29"/>
    <n v="27"/>
    <x v="1"/>
    <x v="8"/>
    <x v="11"/>
    <x v="1"/>
  </r>
  <r>
    <n v="30"/>
    <n v="46"/>
    <x v="0"/>
    <x v="9"/>
    <x v="20"/>
    <x v="2"/>
  </r>
  <r>
    <n v="31"/>
    <n v="36"/>
    <x v="0"/>
    <x v="0"/>
    <x v="21"/>
    <x v="0"/>
  </r>
  <r>
    <n v="32"/>
    <n v="38"/>
    <x v="1"/>
    <x v="1"/>
    <x v="9"/>
    <x v="1"/>
  </r>
  <r>
    <n v="33"/>
    <n v="41"/>
    <x v="0"/>
    <x v="2"/>
    <x v="10"/>
    <x v="2"/>
  </r>
  <r>
    <n v="34"/>
    <n v="20"/>
    <x v="1"/>
    <x v="3"/>
    <x v="22"/>
    <x v="2"/>
  </r>
  <r>
    <n v="35"/>
    <n v="57"/>
    <x v="1"/>
    <x v="4"/>
    <x v="23"/>
    <x v="0"/>
  </r>
  <r>
    <n v="36"/>
    <n v="43"/>
    <x v="0"/>
    <x v="5"/>
    <x v="21"/>
    <x v="1"/>
  </r>
  <r>
    <n v="37"/>
    <n v="34"/>
    <x v="1"/>
    <x v="6"/>
    <x v="24"/>
    <x v="0"/>
  </r>
  <r>
    <n v="38"/>
    <n v="25"/>
    <x v="0"/>
    <x v="7"/>
    <x v="25"/>
    <x v="2"/>
  </r>
  <r>
    <n v="39"/>
    <n v="33"/>
    <x v="1"/>
    <x v="8"/>
    <x v="26"/>
    <x v="1"/>
  </r>
  <r>
    <n v="40"/>
    <n v="47"/>
    <x v="0"/>
    <x v="9"/>
    <x v="27"/>
    <x v="2"/>
  </r>
  <r>
    <n v="41"/>
    <n v="30"/>
    <x v="1"/>
    <x v="0"/>
    <x v="28"/>
    <x v="0"/>
  </r>
  <r>
    <n v="42"/>
    <n v="29"/>
    <x v="0"/>
    <x v="1"/>
    <x v="14"/>
    <x v="1"/>
  </r>
  <r>
    <n v="43"/>
    <n v="44"/>
    <x v="0"/>
    <x v="2"/>
    <x v="29"/>
    <x v="2"/>
  </r>
  <r>
    <n v="44"/>
    <n v="23"/>
    <x v="1"/>
    <x v="3"/>
    <x v="30"/>
    <x v="0"/>
  </r>
  <r>
    <n v="45"/>
    <n v="54"/>
    <x v="1"/>
    <x v="4"/>
    <x v="31"/>
    <x v="0"/>
  </r>
  <r>
    <n v="46"/>
    <n v="42"/>
    <x v="0"/>
    <x v="5"/>
    <x v="32"/>
    <x v="1"/>
  </r>
  <r>
    <n v="47"/>
    <n v="31"/>
    <x v="1"/>
    <x v="6"/>
    <x v="33"/>
    <x v="0"/>
  </r>
  <r>
    <n v="48"/>
    <n v="22"/>
    <x v="0"/>
    <x v="7"/>
    <x v="34"/>
    <x v="2"/>
  </r>
  <r>
    <n v="49"/>
    <n v="28"/>
    <x v="1"/>
    <x v="8"/>
    <x v="29"/>
    <x v="1"/>
  </r>
  <r>
    <n v="50"/>
    <n v="49"/>
    <x v="0"/>
    <x v="9"/>
    <x v="35"/>
    <x v="2"/>
  </r>
  <r>
    <n v="51"/>
    <n v="35"/>
    <x v="0"/>
    <x v="0"/>
    <x v="36"/>
    <x v="0"/>
  </r>
  <r>
    <n v="52"/>
    <n v="37"/>
    <x v="1"/>
    <x v="1"/>
    <x v="37"/>
    <x v="1"/>
  </r>
  <r>
    <n v="53"/>
    <n v="40"/>
    <x v="0"/>
    <x v="2"/>
    <x v="26"/>
    <x v="2"/>
  </r>
  <r>
    <n v="54"/>
    <n v="18"/>
    <x v="1"/>
    <x v="3"/>
    <x v="38"/>
    <x v="0"/>
  </r>
  <r>
    <n v="55"/>
    <n v="53"/>
    <x v="1"/>
    <x v="4"/>
    <x v="39"/>
    <x v="0"/>
  </r>
  <r>
    <n v="56"/>
    <n v="39"/>
    <x v="0"/>
    <x v="5"/>
    <x v="21"/>
    <x v="1"/>
  </r>
  <r>
    <n v="57"/>
    <n v="32"/>
    <x v="1"/>
    <x v="6"/>
    <x v="28"/>
    <x v="0"/>
  </r>
  <r>
    <n v="58"/>
    <n v="24"/>
    <x v="0"/>
    <x v="7"/>
    <x v="40"/>
    <x v="2"/>
  </r>
  <r>
    <n v="59"/>
    <n v="31"/>
    <x v="1"/>
    <x v="8"/>
    <x v="29"/>
    <x v="1"/>
  </r>
  <r>
    <n v="60"/>
    <n v="50"/>
    <x v="0"/>
    <x v="9"/>
    <x v="4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E4B332-65FB-49C3-AAEE-27B70842B13D}"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6">
    <pivotField showAll="0"/>
    <pivotField showAll="0"/>
    <pivotField showAll="0"/>
    <pivotField showAll="0"/>
    <pivotField dataField="1" showAll="0"/>
    <pivotField axis="axisRow" showAll="0">
      <items count="4">
        <item x="1"/>
        <item x="0"/>
        <item x="2"/>
        <item t="default"/>
      </items>
    </pivotField>
  </pivotFields>
  <rowFields count="1">
    <field x="5"/>
  </rowFields>
  <rowItems count="4">
    <i>
      <x/>
    </i>
    <i>
      <x v="1"/>
    </i>
    <i>
      <x v="2"/>
    </i>
    <i t="grand">
      <x/>
    </i>
  </rowItems>
  <colItems count="1">
    <i/>
  </colItems>
  <dataFields count="1">
    <dataField name="Sum of Purchase History" fld="4" baseField="5"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329075-80B5-4F85-9C15-97A52ABA853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 firstHeaderRow="1" firstDataRow="2" firstDataCol="1"/>
  <pivotFields count="6">
    <pivotField showAll="0"/>
    <pivotField showAll="0"/>
    <pivotField axis="axisCol" showAll="0">
      <items count="3">
        <item x="0"/>
        <item x="1"/>
        <item t="default"/>
      </items>
    </pivotField>
    <pivotField axis="axisRow" showAll="0">
      <items count="11">
        <item x="9"/>
        <item x="8"/>
        <item x="2"/>
        <item x="6"/>
        <item x="3"/>
        <item x="1"/>
        <item x="5"/>
        <item x="0"/>
        <item x="4"/>
        <item x="7"/>
        <item t="default"/>
      </items>
    </pivotField>
    <pivotField dataField="1" showAll="0">
      <items count="43">
        <item x="38"/>
        <item x="3"/>
        <item x="22"/>
        <item x="16"/>
        <item x="30"/>
        <item x="12"/>
        <item x="7"/>
        <item x="40"/>
        <item x="19"/>
        <item x="34"/>
        <item x="15"/>
        <item x="25"/>
        <item x="2"/>
        <item x="11"/>
        <item x="29"/>
        <item x="8"/>
        <item x="26"/>
        <item x="6"/>
        <item x="33"/>
        <item x="10"/>
        <item x="28"/>
        <item x="24"/>
        <item x="14"/>
        <item x="5"/>
        <item x="32"/>
        <item x="18"/>
        <item x="21"/>
        <item x="0"/>
        <item x="36"/>
        <item x="20"/>
        <item x="9"/>
        <item x="27"/>
        <item x="1"/>
        <item x="35"/>
        <item x="37"/>
        <item x="41"/>
        <item x="13"/>
        <item x="31"/>
        <item x="17"/>
        <item x="4"/>
        <item x="23"/>
        <item x="39"/>
        <item t="default"/>
      </items>
    </pivotField>
    <pivotField axis="axisRow" showAll="0">
      <items count="4">
        <item x="1"/>
        <item x="0"/>
        <item x="2"/>
        <item t="default"/>
      </items>
    </pivotField>
  </pivotFields>
  <rowFields count="2">
    <field x="5"/>
    <field x="3"/>
  </rowFields>
  <rowItems count="15">
    <i>
      <x/>
    </i>
    <i r="1">
      <x v="1"/>
    </i>
    <i r="1">
      <x v="5"/>
    </i>
    <i r="1">
      <x v="6"/>
    </i>
    <i>
      <x v="1"/>
    </i>
    <i r="1">
      <x v="3"/>
    </i>
    <i r="1">
      <x v="4"/>
    </i>
    <i r="1">
      <x v="7"/>
    </i>
    <i r="1">
      <x v="8"/>
    </i>
    <i>
      <x v="2"/>
    </i>
    <i r="1">
      <x/>
    </i>
    <i r="1">
      <x v="2"/>
    </i>
    <i r="1">
      <x v="4"/>
    </i>
    <i r="1">
      <x v="9"/>
    </i>
    <i t="grand">
      <x/>
    </i>
  </rowItems>
  <colFields count="1">
    <field x="2"/>
  </colFields>
  <colItems count="3">
    <i>
      <x/>
    </i>
    <i>
      <x v="1"/>
    </i>
    <i t="grand">
      <x/>
    </i>
  </colItems>
  <dataFields count="1">
    <dataField name="Sum of Purchase History"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DD620DF-75FF-488D-85D6-7F2AE991BF66}" sourceName="Gender">
  <pivotTables>
    <pivotTable tabId="12" name="PivotTable2"/>
  </pivotTables>
  <data>
    <tabular pivotCacheId="21204742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FF209FC-39B9-4544-958D-1D0E389CC0D7}" sourceName="City">
  <pivotTables>
    <pivotTable tabId="12" name="PivotTable2"/>
  </pivotTables>
  <data>
    <tabular pivotCacheId="2120474268">
      <items count="10">
        <i x="9" s="1"/>
        <i x="8" s="1"/>
        <i x="2" s="1"/>
        <i x="6" s="1"/>
        <i x="3" s="1"/>
        <i x="1" s="1"/>
        <i x="5" s="1"/>
        <i x="0"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History" xr10:uid="{94507EA0-677B-4699-A80C-23676EAF4E2E}" sourceName="Purchase History">
  <pivotTables>
    <pivotTable tabId="12" name="PivotTable2"/>
  </pivotTables>
  <data>
    <tabular pivotCacheId="2120474268">
      <items count="42">
        <i x="38" s="1"/>
        <i x="3" s="1"/>
        <i x="22" s="1"/>
        <i x="16" s="1"/>
        <i x="30" s="1"/>
        <i x="12" s="1"/>
        <i x="7" s="1"/>
        <i x="40" s="1"/>
        <i x="19" s="1"/>
        <i x="34" s="1"/>
        <i x="15" s="1"/>
        <i x="25" s="1"/>
        <i x="2" s="1"/>
        <i x="11" s="1"/>
        <i x="29" s="1"/>
        <i x="8" s="1"/>
        <i x="26" s="1"/>
        <i x="6" s="1"/>
        <i x="33" s="1"/>
        <i x="10" s="1"/>
        <i x="28" s="1"/>
        <i x="24" s="1"/>
        <i x="14" s="1"/>
        <i x="5" s="1"/>
        <i x="32" s="1"/>
        <i x="18" s="1"/>
        <i x="21" s="1"/>
        <i x="0" s="1"/>
        <i x="36" s="1"/>
        <i x="20" s="1"/>
        <i x="9" s="1"/>
        <i x="27" s="1"/>
        <i x="1" s="1"/>
        <i x="35" s="1"/>
        <i x="37" s="1"/>
        <i x="41" s="1"/>
        <i x="13" s="1"/>
        <i x="31" s="1"/>
        <i x="17" s="1"/>
        <i x="4" s="1"/>
        <i x="23" s="1"/>
        <i x="3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D969263-33EA-4C5B-AC67-B782A824FD6F}" sourceName="Product Category">
  <pivotTables>
    <pivotTable tabId="12" name="PivotTable2"/>
  </pivotTables>
  <data>
    <tabular pivotCacheId="212047426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B43A710-79FF-433C-ADD5-3F4E0D9B4B05}" cache="Slicer_Gender" caption="Gender" rowHeight="251883"/>
  <slicer name="City" xr10:uid="{E330C3DF-E617-4221-BD71-D63CEA9CC870}" cache="Slicer_City" caption="City" startItem="5" rowHeight="251883"/>
  <slicer name="Purchase History" xr10:uid="{A9F2FA36-05C0-4E8F-92E2-FF6085C1148D}" cache="Slicer_Purchase_History" caption="Purchase History" rowHeight="251883"/>
  <slicer name="Product Category" xr10:uid="{9667C8DE-C786-47EB-9678-99C37542F957}" cache="Slicer_Product_Category" caption="Product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8A9AF9-73D6-4123-B52E-17ECE11021AD}" name="Product_Purchase" displayName="Product_Purchase" ref="A1:F61" totalsRowShown="0" headerRowDxfId="10" dataDxfId="8" headerRowBorderDxfId="9" tableBorderDxfId="7" totalsRowBorderDxfId="6">
  <autoFilter ref="A1:F61" xr:uid="{E08A9AF9-73D6-4123-B52E-17ECE11021AD}"/>
  <tableColumns count="6">
    <tableColumn id="1" xr3:uid="{CD6146F9-D636-48EC-A92E-AE3D4D526796}" name="Customer ID" dataDxfId="5"/>
    <tableColumn id="2" xr3:uid="{77731D83-F515-4DE2-81E8-DB3E1AEA787B}" name="Age" dataDxfId="4"/>
    <tableColumn id="3" xr3:uid="{1EF4E8B2-CB92-4B5F-9C00-28A0B1973EA2}" name="Gender" dataDxfId="3"/>
    <tableColumn id="4" xr3:uid="{E8DC321C-8726-4A70-A540-753AF5EBED3D}" name="City" dataDxfId="2"/>
    <tableColumn id="5" xr3:uid="{F2D0D31C-2B3E-47EE-92B8-6BCC90DE8C5F}" name="Purchase History" dataDxfId="1"/>
    <tableColumn id="6" xr3:uid="{CD6217D5-A58A-4B8A-B8BD-BA2C427C6F16}" name="Product Category"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74CB-C82F-4A8E-AA2B-8F159E0F0AFD}">
  <dimension ref="A1:F66"/>
  <sheetViews>
    <sheetView tabSelected="1" workbookViewId="0">
      <pane ySplit="1" topLeftCell="A2" activePane="bottomLeft" state="frozen"/>
      <selection pane="bottomLeft" activeCell="J9" sqref="J9"/>
    </sheetView>
  </sheetViews>
  <sheetFormatPr defaultRowHeight="14.5" x14ac:dyDescent="0.35"/>
  <cols>
    <col min="1" max="1" width="14.26953125" customWidth="1"/>
    <col min="4" max="4" width="13" customWidth="1"/>
    <col min="5" max="5" width="11.81640625" bestFit="1" customWidth="1"/>
    <col min="6" max="6" width="19" customWidth="1"/>
  </cols>
  <sheetData>
    <row r="1" spans="1:6" ht="32" x14ac:dyDescent="0.35">
      <c r="A1" s="1" t="s">
        <v>0</v>
      </c>
      <c r="B1" s="2" t="s">
        <v>1</v>
      </c>
      <c r="C1" s="2" t="s">
        <v>2</v>
      </c>
      <c r="D1" s="2" t="s">
        <v>3</v>
      </c>
      <c r="E1" s="2" t="s">
        <v>4</v>
      </c>
      <c r="F1" s="3" t="s">
        <v>5</v>
      </c>
    </row>
    <row r="2" spans="1:6" ht="16" x14ac:dyDescent="0.35">
      <c r="A2" s="4">
        <v>1</v>
      </c>
      <c r="B2" s="5">
        <v>28</v>
      </c>
      <c r="C2" s="5" t="s">
        <v>6</v>
      </c>
      <c r="D2" s="5" t="s">
        <v>7</v>
      </c>
      <c r="E2" s="5">
        <v>1500</v>
      </c>
      <c r="F2" s="6" t="s">
        <v>8</v>
      </c>
    </row>
    <row r="3" spans="1:6" ht="16" x14ac:dyDescent="0.35">
      <c r="A3" s="4">
        <v>2</v>
      </c>
      <c r="B3" s="5">
        <v>35</v>
      </c>
      <c r="C3" s="5" t="s">
        <v>9</v>
      </c>
      <c r="D3" s="5" t="s">
        <v>10</v>
      </c>
      <c r="E3" s="5">
        <v>2000</v>
      </c>
      <c r="F3" s="6" t="s">
        <v>11</v>
      </c>
    </row>
    <row r="4" spans="1:6" ht="16" x14ac:dyDescent="0.35">
      <c r="A4" s="4">
        <v>3</v>
      </c>
      <c r="B4" s="5">
        <v>42</v>
      </c>
      <c r="C4" s="5" t="s">
        <v>6</v>
      </c>
      <c r="D4" s="5" t="s">
        <v>12</v>
      </c>
      <c r="E4" s="5">
        <v>500</v>
      </c>
      <c r="F4" s="6" t="s">
        <v>13</v>
      </c>
    </row>
    <row r="5" spans="1:6" ht="16" x14ac:dyDescent="0.35">
      <c r="A5" s="4">
        <v>4</v>
      </c>
      <c r="B5" s="5">
        <v>19</v>
      </c>
      <c r="C5" s="5" t="s">
        <v>9</v>
      </c>
      <c r="D5" s="5" t="s">
        <v>14</v>
      </c>
      <c r="E5" s="5">
        <v>100</v>
      </c>
      <c r="F5" s="6" t="s">
        <v>8</v>
      </c>
    </row>
    <row r="6" spans="1:6" ht="16" x14ac:dyDescent="0.35">
      <c r="A6" s="4">
        <v>5</v>
      </c>
      <c r="B6" s="5">
        <v>56</v>
      </c>
      <c r="C6" s="5" t="s">
        <v>9</v>
      </c>
      <c r="D6" s="5" t="s">
        <v>15</v>
      </c>
      <c r="E6" s="5">
        <v>3000</v>
      </c>
      <c r="F6" s="6" t="s">
        <v>8</v>
      </c>
    </row>
    <row r="7" spans="1:6" ht="16" x14ac:dyDescent="0.35">
      <c r="A7" s="4">
        <v>6</v>
      </c>
      <c r="B7" s="5">
        <v>41</v>
      </c>
      <c r="C7" s="5" t="s">
        <v>6</v>
      </c>
      <c r="D7" s="5" t="s">
        <v>16</v>
      </c>
      <c r="E7" s="5">
        <v>1200</v>
      </c>
      <c r="F7" s="6" t="s">
        <v>11</v>
      </c>
    </row>
    <row r="8" spans="1:6" ht="16" x14ac:dyDescent="0.35">
      <c r="A8" s="4">
        <v>7</v>
      </c>
      <c r="B8" s="5">
        <v>33</v>
      </c>
      <c r="C8" s="5" t="s">
        <v>9</v>
      </c>
      <c r="D8" s="5" t="s">
        <v>17</v>
      </c>
      <c r="E8" s="5">
        <v>800</v>
      </c>
      <c r="F8" s="6" t="s">
        <v>8</v>
      </c>
    </row>
    <row r="9" spans="1:6" ht="16" x14ac:dyDescent="0.35">
      <c r="A9" s="4">
        <v>8</v>
      </c>
      <c r="B9" s="5">
        <v>24</v>
      </c>
      <c r="C9" s="5" t="s">
        <v>6</v>
      </c>
      <c r="D9" s="5" t="s">
        <v>18</v>
      </c>
      <c r="E9" s="5">
        <v>250</v>
      </c>
      <c r="F9" s="6" t="s">
        <v>13</v>
      </c>
    </row>
    <row r="10" spans="1:6" ht="16" x14ac:dyDescent="0.35">
      <c r="A10" s="4">
        <v>9</v>
      </c>
      <c r="B10" s="5">
        <v>29</v>
      </c>
      <c r="C10" s="5" t="s">
        <v>9</v>
      </c>
      <c r="D10" s="5" t="s">
        <v>19</v>
      </c>
      <c r="E10" s="5">
        <v>700</v>
      </c>
      <c r="F10" s="6" t="s">
        <v>11</v>
      </c>
    </row>
    <row r="11" spans="1:6" ht="16" x14ac:dyDescent="0.35">
      <c r="A11" s="4">
        <v>10</v>
      </c>
      <c r="B11" s="5">
        <v>45</v>
      </c>
      <c r="C11" s="5" t="s">
        <v>6</v>
      </c>
      <c r="D11" s="5" t="s">
        <v>20</v>
      </c>
      <c r="E11" s="5">
        <v>1800</v>
      </c>
      <c r="F11" s="6" t="s">
        <v>13</v>
      </c>
    </row>
    <row r="12" spans="1:6" ht="16" x14ac:dyDescent="0.35">
      <c r="A12" s="4">
        <v>11</v>
      </c>
      <c r="B12" s="5">
        <v>31</v>
      </c>
      <c r="C12" s="5" t="s">
        <v>6</v>
      </c>
      <c r="D12" s="5" t="s">
        <v>7</v>
      </c>
      <c r="E12" s="5">
        <v>900</v>
      </c>
      <c r="F12" s="6" t="s">
        <v>8</v>
      </c>
    </row>
    <row r="13" spans="1:6" ht="16" x14ac:dyDescent="0.35">
      <c r="A13" s="4">
        <v>12</v>
      </c>
      <c r="B13" s="5">
        <v>39</v>
      </c>
      <c r="C13" s="5" t="s">
        <v>9</v>
      </c>
      <c r="D13" s="5" t="s">
        <v>10</v>
      </c>
      <c r="E13" s="5">
        <v>1500</v>
      </c>
      <c r="F13" s="6" t="s">
        <v>11</v>
      </c>
    </row>
    <row r="14" spans="1:6" ht="16" x14ac:dyDescent="0.35">
      <c r="A14" s="4">
        <v>13</v>
      </c>
      <c r="B14" s="5">
        <v>37</v>
      </c>
      <c r="C14" s="5" t="s">
        <v>6</v>
      </c>
      <c r="D14" s="5" t="s">
        <v>12</v>
      </c>
      <c r="E14" s="5">
        <v>600</v>
      </c>
      <c r="F14" s="6" t="s">
        <v>13</v>
      </c>
    </row>
    <row r="15" spans="1:6" ht="16" x14ac:dyDescent="0.35">
      <c r="A15" s="4">
        <v>14</v>
      </c>
      <c r="B15" s="5">
        <v>22</v>
      </c>
      <c r="C15" s="5" t="s">
        <v>9</v>
      </c>
      <c r="D15" s="5" t="s">
        <v>14</v>
      </c>
      <c r="E15" s="5">
        <v>200</v>
      </c>
      <c r="F15" s="6" t="s">
        <v>8</v>
      </c>
    </row>
    <row r="16" spans="1:6" ht="16" x14ac:dyDescent="0.35">
      <c r="A16" s="4">
        <v>15</v>
      </c>
      <c r="B16" s="5">
        <v>44</v>
      </c>
      <c r="C16" s="5" t="s">
        <v>9</v>
      </c>
      <c r="D16" s="5" t="s">
        <v>15</v>
      </c>
      <c r="E16" s="5">
        <v>2500</v>
      </c>
      <c r="F16" s="6" t="s">
        <v>8</v>
      </c>
    </row>
    <row r="17" spans="1:6" ht="16" x14ac:dyDescent="0.35">
      <c r="A17" s="4">
        <v>16</v>
      </c>
      <c r="B17" s="5">
        <v>27</v>
      </c>
      <c r="C17" s="5" t="s">
        <v>6</v>
      </c>
      <c r="D17" s="5" t="s">
        <v>16</v>
      </c>
      <c r="E17" s="5">
        <v>1100</v>
      </c>
      <c r="F17" s="6" t="s">
        <v>11</v>
      </c>
    </row>
    <row r="18" spans="1:6" ht="16" x14ac:dyDescent="0.35">
      <c r="A18" s="4">
        <v>17</v>
      </c>
      <c r="B18" s="5">
        <v>30</v>
      </c>
      <c r="C18" s="5" t="s">
        <v>9</v>
      </c>
      <c r="D18" s="5" t="s">
        <v>17</v>
      </c>
      <c r="E18" s="5">
        <v>1200</v>
      </c>
      <c r="F18" s="6" t="s">
        <v>8</v>
      </c>
    </row>
    <row r="19" spans="1:6" ht="16" x14ac:dyDescent="0.35">
      <c r="A19" s="4">
        <v>18</v>
      </c>
      <c r="B19" s="5">
        <v>26</v>
      </c>
      <c r="C19" s="5" t="s">
        <v>6</v>
      </c>
      <c r="D19" s="5" t="s">
        <v>18</v>
      </c>
      <c r="E19" s="5">
        <v>350</v>
      </c>
      <c r="F19" s="6" t="s">
        <v>13</v>
      </c>
    </row>
    <row r="20" spans="1:6" ht="16" x14ac:dyDescent="0.35">
      <c r="A20" s="4">
        <v>19</v>
      </c>
      <c r="B20" s="5">
        <v>34</v>
      </c>
      <c r="C20" s="5" t="s">
        <v>9</v>
      </c>
      <c r="D20" s="5" t="s">
        <v>19</v>
      </c>
      <c r="E20" s="5">
        <v>800</v>
      </c>
      <c r="F20" s="6" t="s">
        <v>11</v>
      </c>
    </row>
    <row r="21" spans="1:6" ht="16" x14ac:dyDescent="0.35">
      <c r="A21" s="4">
        <v>20</v>
      </c>
      <c r="B21" s="5">
        <v>48</v>
      </c>
      <c r="C21" s="5" t="s">
        <v>6</v>
      </c>
      <c r="D21" s="5" t="s">
        <v>20</v>
      </c>
      <c r="E21" s="5">
        <v>2000</v>
      </c>
      <c r="F21" s="6" t="s">
        <v>13</v>
      </c>
    </row>
    <row r="22" spans="1:6" ht="16" x14ac:dyDescent="0.35">
      <c r="A22" s="4">
        <v>21</v>
      </c>
      <c r="B22" s="5">
        <v>39</v>
      </c>
      <c r="C22" s="5" t="s">
        <v>9</v>
      </c>
      <c r="D22" s="5" t="s">
        <v>7</v>
      </c>
      <c r="E22" s="5">
        <v>800</v>
      </c>
      <c r="F22" s="6" t="s">
        <v>8</v>
      </c>
    </row>
    <row r="23" spans="1:6" ht="16" x14ac:dyDescent="0.35">
      <c r="A23" s="4">
        <v>22</v>
      </c>
      <c r="B23" s="5">
        <v>28</v>
      </c>
      <c r="C23" s="5" t="s">
        <v>6</v>
      </c>
      <c r="D23" s="5" t="s">
        <v>10</v>
      </c>
      <c r="E23" s="5">
        <v>1200</v>
      </c>
      <c r="F23" s="6" t="s">
        <v>11</v>
      </c>
    </row>
    <row r="24" spans="1:6" ht="16" x14ac:dyDescent="0.35">
      <c r="A24" s="4">
        <v>23</v>
      </c>
      <c r="B24" s="5">
        <v>43</v>
      </c>
      <c r="C24" s="5" t="s">
        <v>6</v>
      </c>
      <c r="D24" s="5" t="s">
        <v>12</v>
      </c>
      <c r="E24" s="5">
        <v>700</v>
      </c>
      <c r="F24" s="6" t="s">
        <v>13</v>
      </c>
    </row>
    <row r="25" spans="1:6" ht="16" x14ac:dyDescent="0.35">
      <c r="A25" s="4">
        <v>24</v>
      </c>
      <c r="B25" s="5">
        <v>21</v>
      </c>
      <c r="C25" s="5" t="s">
        <v>9</v>
      </c>
      <c r="D25" s="5" t="s">
        <v>14</v>
      </c>
      <c r="E25" s="5">
        <v>150</v>
      </c>
      <c r="F25" s="6" t="s">
        <v>8</v>
      </c>
    </row>
    <row r="26" spans="1:6" ht="16" x14ac:dyDescent="0.35">
      <c r="A26" s="4">
        <v>25</v>
      </c>
      <c r="B26" s="5">
        <v>55</v>
      </c>
      <c r="C26" s="5" t="s">
        <v>9</v>
      </c>
      <c r="D26" s="5" t="s">
        <v>15</v>
      </c>
      <c r="E26" s="5">
        <v>2800</v>
      </c>
      <c r="F26" s="6" t="s">
        <v>8</v>
      </c>
    </row>
    <row r="27" spans="1:6" ht="16" x14ac:dyDescent="0.35">
      <c r="A27" s="4">
        <v>26</v>
      </c>
      <c r="B27" s="5">
        <v>40</v>
      </c>
      <c r="C27" s="5" t="s">
        <v>6</v>
      </c>
      <c r="D27" s="5" t="s">
        <v>16</v>
      </c>
      <c r="E27" s="5">
        <v>1300</v>
      </c>
      <c r="F27" s="6" t="s">
        <v>11</v>
      </c>
    </row>
    <row r="28" spans="1:6" ht="16" x14ac:dyDescent="0.35">
      <c r="A28" s="4">
        <v>27</v>
      </c>
      <c r="B28" s="5">
        <v>32</v>
      </c>
      <c r="C28" s="5" t="s">
        <v>9</v>
      </c>
      <c r="D28" s="5" t="s">
        <v>17</v>
      </c>
      <c r="E28" s="5">
        <v>900</v>
      </c>
      <c r="F28" s="6" t="s">
        <v>8</v>
      </c>
    </row>
    <row r="29" spans="1:6" ht="16" x14ac:dyDescent="0.35">
      <c r="A29" s="4">
        <v>28</v>
      </c>
      <c r="B29" s="5">
        <v>23</v>
      </c>
      <c r="C29" s="5" t="s">
        <v>6</v>
      </c>
      <c r="D29" s="5" t="s">
        <v>18</v>
      </c>
      <c r="E29" s="5">
        <v>300</v>
      </c>
      <c r="F29" s="6" t="s">
        <v>13</v>
      </c>
    </row>
    <row r="30" spans="1:6" ht="16" x14ac:dyDescent="0.35">
      <c r="A30" s="4">
        <v>29</v>
      </c>
      <c r="B30" s="5">
        <v>27</v>
      </c>
      <c r="C30" s="5" t="s">
        <v>9</v>
      </c>
      <c r="D30" s="5" t="s">
        <v>19</v>
      </c>
      <c r="E30" s="5">
        <v>600</v>
      </c>
      <c r="F30" s="6" t="s">
        <v>11</v>
      </c>
    </row>
    <row r="31" spans="1:6" ht="16" x14ac:dyDescent="0.35">
      <c r="A31" s="4">
        <v>30</v>
      </c>
      <c r="B31" s="5">
        <v>46</v>
      </c>
      <c r="C31" s="5" t="s">
        <v>6</v>
      </c>
      <c r="D31" s="5" t="s">
        <v>20</v>
      </c>
      <c r="E31" s="5">
        <v>1700</v>
      </c>
      <c r="F31" s="6" t="s">
        <v>13</v>
      </c>
    </row>
    <row r="32" spans="1:6" ht="16" x14ac:dyDescent="0.35">
      <c r="A32" s="4">
        <v>31</v>
      </c>
      <c r="B32" s="5">
        <v>36</v>
      </c>
      <c r="C32" s="5" t="s">
        <v>6</v>
      </c>
      <c r="D32" s="5" t="s">
        <v>7</v>
      </c>
      <c r="E32" s="5">
        <v>1400</v>
      </c>
      <c r="F32" s="6" t="s">
        <v>8</v>
      </c>
    </row>
    <row r="33" spans="1:6" ht="16" x14ac:dyDescent="0.35">
      <c r="A33" s="4">
        <v>32</v>
      </c>
      <c r="B33" s="5">
        <v>38</v>
      </c>
      <c r="C33" s="5" t="s">
        <v>9</v>
      </c>
      <c r="D33" s="5" t="s">
        <v>10</v>
      </c>
      <c r="E33" s="5">
        <v>1800</v>
      </c>
      <c r="F33" s="6" t="s">
        <v>11</v>
      </c>
    </row>
    <row r="34" spans="1:6" ht="16" x14ac:dyDescent="0.35">
      <c r="A34" s="4">
        <v>33</v>
      </c>
      <c r="B34" s="5">
        <v>41</v>
      </c>
      <c r="C34" s="5" t="s">
        <v>6</v>
      </c>
      <c r="D34" s="5" t="s">
        <v>12</v>
      </c>
      <c r="E34" s="5">
        <v>900</v>
      </c>
      <c r="F34" s="6" t="s">
        <v>13</v>
      </c>
    </row>
    <row r="35" spans="1:6" ht="16" x14ac:dyDescent="0.35">
      <c r="A35" s="4">
        <v>34</v>
      </c>
      <c r="B35" s="5">
        <v>20</v>
      </c>
      <c r="C35" s="5" t="s">
        <v>9</v>
      </c>
      <c r="D35" s="5" t="s">
        <v>14</v>
      </c>
      <c r="E35" s="5">
        <v>120</v>
      </c>
      <c r="F35" s="6" t="s">
        <v>13</v>
      </c>
    </row>
    <row r="36" spans="1:6" ht="16" x14ac:dyDescent="0.35">
      <c r="A36" s="4">
        <v>35</v>
      </c>
      <c r="B36" s="5">
        <v>57</v>
      </c>
      <c r="C36" s="5" t="s">
        <v>9</v>
      </c>
      <c r="D36" s="5" t="s">
        <v>15</v>
      </c>
      <c r="E36" s="5">
        <v>3200</v>
      </c>
      <c r="F36" s="6" t="s">
        <v>8</v>
      </c>
    </row>
    <row r="37" spans="1:6" ht="16" x14ac:dyDescent="0.35">
      <c r="A37" s="4">
        <v>36</v>
      </c>
      <c r="B37" s="5">
        <v>43</v>
      </c>
      <c r="C37" s="5" t="s">
        <v>6</v>
      </c>
      <c r="D37" s="5" t="s">
        <v>16</v>
      </c>
      <c r="E37" s="5">
        <v>1400</v>
      </c>
      <c r="F37" s="6" t="s">
        <v>11</v>
      </c>
    </row>
    <row r="38" spans="1:6" ht="16" x14ac:dyDescent="0.35">
      <c r="A38" s="4">
        <v>37</v>
      </c>
      <c r="B38" s="5">
        <v>34</v>
      </c>
      <c r="C38" s="5" t="s">
        <v>9</v>
      </c>
      <c r="D38" s="5" t="s">
        <v>17</v>
      </c>
      <c r="E38" s="5">
        <v>1000</v>
      </c>
      <c r="F38" s="6" t="s">
        <v>8</v>
      </c>
    </row>
    <row r="39" spans="1:6" ht="16" x14ac:dyDescent="0.35">
      <c r="A39" s="4">
        <v>38</v>
      </c>
      <c r="B39" s="5">
        <v>25</v>
      </c>
      <c r="C39" s="5" t="s">
        <v>6</v>
      </c>
      <c r="D39" s="5" t="s">
        <v>18</v>
      </c>
      <c r="E39" s="5">
        <v>400</v>
      </c>
      <c r="F39" s="6" t="s">
        <v>13</v>
      </c>
    </row>
    <row r="40" spans="1:6" ht="16" x14ac:dyDescent="0.35">
      <c r="A40" s="4">
        <v>39</v>
      </c>
      <c r="B40" s="5">
        <v>33</v>
      </c>
      <c r="C40" s="5" t="s">
        <v>9</v>
      </c>
      <c r="D40" s="5" t="s">
        <v>19</v>
      </c>
      <c r="E40" s="5">
        <v>750</v>
      </c>
      <c r="F40" s="6" t="s">
        <v>11</v>
      </c>
    </row>
    <row r="41" spans="1:6" ht="16" x14ac:dyDescent="0.35">
      <c r="A41" s="4">
        <v>40</v>
      </c>
      <c r="B41" s="5">
        <v>47</v>
      </c>
      <c r="C41" s="5" t="s">
        <v>6</v>
      </c>
      <c r="D41" s="5" t="s">
        <v>20</v>
      </c>
      <c r="E41" s="5">
        <v>1900</v>
      </c>
      <c r="F41" s="6" t="s">
        <v>13</v>
      </c>
    </row>
    <row r="42" spans="1:6" ht="16" x14ac:dyDescent="0.35">
      <c r="A42" s="4">
        <v>41</v>
      </c>
      <c r="B42" s="5">
        <v>30</v>
      </c>
      <c r="C42" s="5" t="s">
        <v>9</v>
      </c>
      <c r="D42" s="5" t="s">
        <v>7</v>
      </c>
      <c r="E42" s="5">
        <v>950</v>
      </c>
      <c r="F42" s="6" t="s">
        <v>8</v>
      </c>
    </row>
    <row r="43" spans="1:6" ht="16" x14ac:dyDescent="0.35">
      <c r="A43" s="4">
        <v>42</v>
      </c>
      <c r="B43" s="5">
        <v>29</v>
      </c>
      <c r="C43" s="5" t="s">
        <v>6</v>
      </c>
      <c r="D43" s="5" t="s">
        <v>10</v>
      </c>
      <c r="E43" s="5">
        <v>1100</v>
      </c>
      <c r="F43" s="6" t="s">
        <v>11</v>
      </c>
    </row>
    <row r="44" spans="1:6" ht="16" x14ac:dyDescent="0.35">
      <c r="A44" s="4">
        <v>43</v>
      </c>
      <c r="B44" s="5">
        <v>44</v>
      </c>
      <c r="C44" s="5" t="s">
        <v>6</v>
      </c>
      <c r="D44" s="5" t="s">
        <v>12</v>
      </c>
      <c r="E44" s="5">
        <v>650</v>
      </c>
      <c r="F44" s="6" t="s">
        <v>13</v>
      </c>
    </row>
    <row r="45" spans="1:6" ht="16" x14ac:dyDescent="0.35">
      <c r="A45" s="4">
        <v>44</v>
      </c>
      <c r="B45" s="5">
        <v>23</v>
      </c>
      <c r="C45" s="5" t="s">
        <v>9</v>
      </c>
      <c r="D45" s="5" t="s">
        <v>14</v>
      </c>
      <c r="E45" s="5">
        <v>180</v>
      </c>
      <c r="F45" s="6" t="s">
        <v>8</v>
      </c>
    </row>
    <row r="46" spans="1:6" ht="16" x14ac:dyDescent="0.35">
      <c r="A46" s="4">
        <v>45</v>
      </c>
      <c r="B46" s="5">
        <v>54</v>
      </c>
      <c r="C46" s="5" t="s">
        <v>9</v>
      </c>
      <c r="D46" s="5" t="s">
        <v>15</v>
      </c>
      <c r="E46" s="5">
        <v>2700</v>
      </c>
      <c r="F46" s="6" t="s">
        <v>8</v>
      </c>
    </row>
    <row r="47" spans="1:6" ht="16" x14ac:dyDescent="0.35">
      <c r="A47" s="4">
        <v>46</v>
      </c>
      <c r="B47" s="5">
        <v>42</v>
      </c>
      <c r="C47" s="5" t="s">
        <v>6</v>
      </c>
      <c r="D47" s="5" t="s">
        <v>16</v>
      </c>
      <c r="E47" s="5">
        <v>1250</v>
      </c>
      <c r="F47" s="6" t="s">
        <v>11</v>
      </c>
    </row>
    <row r="48" spans="1:6" ht="16" x14ac:dyDescent="0.35">
      <c r="A48" s="4">
        <v>47</v>
      </c>
      <c r="B48" s="5">
        <v>31</v>
      </c>
      <c r="C48" s="5" t="s">
        <v>9</v>
      </c>
      <c r="D48" s="5" t="s">
        <v>17</v>
      </c>
      <c r="E48" s="5">
        <v>850</v>
      </c>
      <c r="F48" s="6" t="s">
        <v>8</v>
      </c>
    </row>
    <row r="49" spans="1:6" ht="16" x14ac:dyDescent="0.35">
      <c r="A49" s="4">
        <v>48</v>
      </c>
      <c r="B49" s="5">
        <v>22</v>
      </c>
      <c r="C49" s="5" t="s">
        <v>6</v>
      </c>
      <c r="D49" s="5" t="s">
        <v>18</v>
      </c>
      <c r="E49" s="5">
        <v>320</v>
      </c>
      <c r="F49" s="6" t="s">
        <v>13</v>
      </c>
    </row>
    <row r="50" spans="1:6" ht="16" x14ac:dyDescent="0.35">
      <c r="A50" s="4">
        <v>49</v>
      </c>
      <c r="B50" s="5">
        <v>28</v>
      </c>
      <c r="C50" s="5" t="s">
        <v>9</v>
      </c>
      <c r="D50" s="5" t="s">
        <v>19</v>
      </c>
      <c r="E50" s="5">
        <v>650</v>
      </c>
      <c r="F50" s="6" t="s">
        <v>11</v>
      </c>
    </row>
    <row r="51" spans="1:6" ht="16" x14ac:dyDescent="0.35">
      <c r="A51" s="4">
        <v>50</v>
      </c>
      <c r="B51" s="5">
        <v>49</v>
      </c>
      <c r="C51" s="5" t="s">
        <v>6</v>
      </c>
      <c r="D51" s="5" t="s">
        <v>20</v>
      </c>
      <c r="E51" s="5">
        <v>2100</v>
      </c>
      <c r="F51" s="6" t="s">
        <v>13</v>
      </c>
    </row>
    <row r="52" spans="1:6" ht="16" x14ac:dyDescent="0.35">
      <c r="A52" s="4">
        <v>51</v>
      </c>
      <c r="B52" s="5">
        <v>35</v>
      </c>
      <c r="C52" s="5" t="s">
        <v>6</v>
      </c>
      <c r="D52" s="5" t="s">
        <v>7</v>
      </c>
      <c r="E52" s="5">
        <v>1600</v>
      </c>
      <c r="F52" s="6" t="s">
        <v>8</v>
      </c>
    </row>
    <row r="53" spans="1:6" ht="16" x14ac:dyDescent="0.35">
      <c r="A53" s="4">
        <v>52</v>
      </c>
      <c r="B53" s="5">
        <v>37</v>
      </c>
      <c r="C53" s="5" t="s">
        <v>9</v>
      </c>
      <c r="D53" s="5" t="s">
        <v>10</v>
      </c>
      <c r="E53" s="5">
        <v>2200</v>
      </c>
      <c r="F53" s="6" t="s">
        <v>11</v>
      </c>
    </row>
    <row r="54" spans="1:6" ht="16" x14ac:dyDescent="0.35">
      <c r="A54" s="4">
        <v>53</v>
      </c>
      <c r="B54" s="5">
        <v>40</v>
      </c>
      <c r="C54" s="5" t="s">
        <v>6</v>
      </c>
      <c r="D54" s="5" t="s">
        <v>12</v>
      </c>
      <c r="E54" s="5">
        <v>750</v>
      </c>
      <c r="F54" s="6" t="s">
        <v>13</v>
      </c>
    </row>
    <row r="55" spans="1:6" ht="16" x14ac:dyDescent="0.35">
      <c r="A55" s="4">
        <v>54</v>
      </c>
      <c r="B55" s="5">
        <v>18</v>
      </c>
      <c r="C55" s="5" t="s">
        <v>9</v>
      </c>
      <c r="D55" s="5" t="s">
        <v>14</v>
      </c>
      <c r="E55" s="5">
        <v>80</v>
      </c>
      <c r="F55" s="6" t="s">
        <v>8</v>
      </c>
    </row>
    <row r="56" spans="1:6" ht="16" x14ac:dyDescent="0.35">
      <c r="A56" s="4">
        <v>55</v>
      </c>
      <c r="B56" s="5">
        <v>53</v>
      </c>
      <c r="C56" s="5" t="s">
        <v>9</v>
      </c>
      <c r="D56" s="5" t="s">
        <v>15</v>
      </c>
      <c r="E56" s="5">
        <v>3500</v>
      </c>
      <c r="F56" s="6" t="s">
        <v>8</v>
      </c>
    </row>
    <row r="57" spans="1:6" ht="16" x14ac:dyDescent="0.35">
      <c r="A57" s="4">
        <v>56</v>
      </c>
      <c r="B57" s="5">
        <v>39</v>
      </c>
      <c r="C57" s="5" t="s">
        <v>6</v>
      </c>
      <c r="D57" s="5" t="s">
        <v>16</v>
      </c>
      <c r="E57" s="5">
        <v>1400</v>
      </c>
      <c r="F57" s="6" t="s">
        <v>11</v>
      </c>
    </row>
    <row r="58" spans="1:6" ht="16" x14ac:dyDescent="0.35">
      <c r="A58" s="4">
        <v>57</v>
      </c>
      <c r="B58" s="5">
        <v>32</v>
      </c>
      <c r="C58" s="5" t="s">
        <v>9</v>
      </c>
      <c r="D58" s="5" t="s">
        <v>17</v>
      </c>
      <c r="E58" s="5">
        <v>950</v>
      </c>
      <c r="F58" s="6" t="s">
        <v>8</v>
      </c>
    </row>
    <row r="59" spans="1:6" ht="16" x14ac:dyDescent="0.35">
      <c r="A59" s="4">
        <v>58</v>
      </c>
      <c r="B59" s="5">
        <v>24</v>
      </c>
      <c r="C59" s="5" t="s">
        <v>6</v>
      </c>
      <c r="D59" s="5" t="s">
        <v>18</v>
      </c>
      <c r="E59" s="5">
        <v>280</v>
      </c>
      <c r="F59" s="6" t="s">
        <v>13</v>
      </c>
    </row>
    <row r="60" spans="1:6" ht="16" x14ac:dyDescent="0.35">
      <c r="A60" s="4">
        <v>59</v>
      </c>
      <c r="B60" s="5">
        <v>31</v>
      </c>
      <c r="C60" s="5" t="s">
        <v>9</v>
      </c>
      <c r="D60" s="5" t="s">
        <v>19</v>
      </c>
      <c r="E60" s="5">
        <v>650</v>
      </c>
      <c r="F60" s="6" t="s">
        <v>11</v>
      </c>
    </row>
    <row r="61" spans="1:6" ht="16.5" thickBot="1" x14ac:dyDescent="0.4">
      <c r="A61" s="7">
        <v>60</v>
      </c>
      <c r="B61" s="8">
        <v>50</v>
      </c>
      <c r="C61" s="8" t="s">
        <v>6</v>
      </c>
      <c r="D61" s="8" t="s">
        <v>20</v>
      </c>
      <c r="E61" s="8">
        <v>2300</v>
      </c>
      <c r="F61" s="9" t="s">
        <v>13</v>
      </c>
    </row>
    <row r="64" spans="1:6" ht="16" x14ac:dyDescent="0.35">
      <c r="D64" s="10" t="s">
        <v>21</v>
      </c>
      <c r="E64" s="11">
        <f>AVERAGE(E2:E61)</f>
        <v>1179.6666666666667</v>
      </c>
    </row>
    <row r="65" spans="4:5" ht="16" x14ac:dyDescent="0.35">
      <c r="D65" s="10" t="s">
        <v>22</v>
      </c>
      <c r="E65" s="11">
        <f>MEDIAN(E2:E61)</f>
        <v>950</v>
      </c>
    </row>
    <row r="66" spans="4:5" ht="16" x14ac:dyDescent="0.35">
      <c r="D66" s="10" t="s">
        <v>23</v>
      </c>
      <c r="E66" s="11">
        <f>MODE(E2:E61)</f>
        <v>1200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04504-5927-48CA-BA9D-5253D6741002}">
  <dimension ref="A1:I62"/>
  <sheetViews>
    <sheetView workbookViewId="0">
      <pane ySplit="1" topLeftCell="A41" activePane="bottomLeft" state="frozen"/>
      <selection pane="bottomLeft" activeCell="I3" sqref="I3"/>
    </sheetView>
  </sheetViews>
  <sheetFormatPr defaultRowHeight="14.5" x14ac:dyDescent="0.35"/>
  <cols>
    <col min="1" max="1" width="14.7265625" customWidth="1"/>
    <col min="5" max="5" width="14.1796875" customWidth="1"/>
    <col min="6" max="6" width="17.1796875" customWidth="1"/>
    <col min="8" max="8" width="9.08984375" customWidth="1"/>
  </cols>
  <sheetData>
    <row r="1" spans="1:9" x14ac:dyDescent="0.35">
      <c r="A1" s="12" t="s">
        <v>0</v>
      </c>
      <c r="B1" s="13" t="s">
        <v>1</v>
      </c>
      <c r="C1" s="13" t="s">
        <v>2</v>
      </c>
      <c r="D1" s="13" t="s">
        <v>3</v>
      </c>
      <c r="E1" s="13" t="s">
        <v>4</v>
      </c>
      <c r="F1" s="14" t="s">
        <v>5</v>
      </c>
    </row>
    <row r="2" spans="1:9" x14ac:dyDescent="0.35">
      <c r="A2" s="15">
        <v>1</v>
      </c>
      <c r="B2" s="16">
        <v>28</v>
      </c>
      <c r="C2" s="16" t="s">
        <v>6</v>
      </c>
      <c r="D2" s="16" t="s">
        <v>7</v>
      </c>
      <c r="E2" s="16">
        <v>1500</v>
      </c>
      <c r="F2" s="17" t="s">
        <v>8</v>
      </c>
    </row>
    <row r="3" spans="1:9" ht="28" x14ac:dyDescent="0.35">
      <c r="A3" s="15">
        <v>2</v>
      </c>
      <c r="B3" s="16">
        <v>35</v>
      </c>
      <c r="C3" s="16" t="s">
        <v>9</v>
      </c>
      <c r="D3" s="16" t="s">
        <v>10</v>
      </c>
      <c r="E3" s="16">
        <v>2000</v>
      </c>
      <c r="F3" s="17" t="s">
        <v>11</v>
      </c>
    </row>
    <row r="4" spans="1:9" x14ac:dyDescent="0.35">
      <c r="A4" s="15">
        <v>3</v>
      </c>
      <c r="B4" s="16">
        <v>42</v>
      </c>
      <c r="C4" s="16" t="s">
        <v>6</v>
      </c>
      <c r="D4" s="16" t="s">
        <v>12</v>
      </c>
      <c r="E4" s="16">
        <v>500</v>
      </c>
      <c r="F4" s="17" t="s">
        <v>13</v>
      </c>
    </row>
    <row r="5" spans="1:9" x14ac:dyDescent="0.35">
      <c r="A5" s="15">
        <v>4</v>
      </c>
      <c r="B5" s="16">
        <v>19</v>
      </c>
      <c r="C5" s="16" t="s">
        <v>9</v>
      </c>
      <c r="D5" s="16" t="s">
        <v>14</v>
      </c>
      <c r="E5" s="16">
        <v>100</v>
      </c>
      <c r="F5" s="17" t="s">
        <v>8</v>
      </c>
    </row>
    <row r="6" spans="1:9" ht="28" x14ac:dyDescent="0.35">
      <c r="A6" s="15">
        <v>5</v>
      </c>
      <c r="B6" s="16">
        <v>56</v>
      </c>
      <c r="C6" s="16" t="s">
        <v>9</v>
      </c>
      <c r="D6" s="16" t="s">
        <v>15</v>
      </c>
      <c r="E6" s="16">
        <v>3000</v>
      </c>
      <c r="F6" s="17" t="s">
        <v>8</v>
      </c>
      <c r="I6" s="21"/>
    </row>
    <row r="7" spans="1:9" x14ac:dyDescent="0.35">
      <c r="A7" s="15">
        <v>6</v>
      </c>
      <c r="B7" s="16">
        <v>41</v>
      </c>
      <c r="C7" s="16" t="s">
        <v>6</v>
      </c>
      <c r="D7" s="16" t="s">
        <v>16</v>
      </c>
      <c r="E7" s="16">
        <v>1200</v>
      </c>
      <c r="F7" s="17" t="s">
        <v>11</v>
      </c>
    </row>
    <row r="8" spans="1:9" x14ac:dyDescent="0.35">
      <c r="A8" s="15">
        <v>7</v>
      </c>
      <c r="B8" s="16">
        <v>33</v>
      </c>
      <c r="C8" s="16" t="s">
        <v>9</v>
      </c>
      <c r="D8" s="16" t="s">
        <v>17</v>
      </c>
      <c r="E8" s="16">
        <v>800</v>
      </c>
      <c r="F8" s="17" t="s">
        <v>8</v>
      </c>
    </row>
    <row r="9" spans="1:9" x14ac:dyDescent="0.35">
      <c r="A9" s="15">
        <v>8</v>
      </c>
      <c r="B9" s="16">
        <v>24</v>
      </c>
      <c r="C9" s="16" t="s">
        <v>6</v>
      </c>
      <c r="D9" s="16" t="s">
        <v>18</v>
      </c>
      <c r="E9" s="16">
        <v>250</v>
      </c>
      <c r="F9" s="17" t="s">
        <v>13</v>
      </c>
      <c r="H9" s="29" t="s">
        <v>26</v>
      </c>
    </row>
    <row r="10" spans="1:9" x14ac:dyDescent="0.35">
      <c r="A10" s="15">
        <v>9</v>
      </c>
      <c r="B10" s="16">
        <v>29</v>
      </c>
      <c r="C10" s="16" t="s">
        <v>9</v>
      </c>
      <c r="D10" s="16" t="s">
        <v>19</v>
      </c>
      <c r="E10" s="16">
        <v>700</v>
      </c>
      <c r="F10" s="17" t="s">
        <v>11</v>
      </c>
      <c r="H10" s="22" t="s">
        <v>24</v>
      </c>
      <c r="I10" s="23">
        <f>AVERAGE(E2:E61)</f>
        <v>1190.55</v>
      </c>
    </row>
    <row r="11" spans="1:9" x14ac:dyDescent="0.35">
      <c r="A11" s="15">
        <v>10</v>
      </c>
      <c r="B11" s="16">
        <v>45</v>
      </c>
      <c r="C11" s="16" t="s">
        <v>6</v>
      </c>
      <c r="D11" s="16" t="s">
        <v>20</v>
      </c>
      <c r="E11" s="16">
        <v>1800</v>
      </c>
      <c r="F11" s="17" t="s">
        <v>13</v>
      </c>
    </row>
    <row r="12" spans="1:9" x14ac:dyDescent="0.35">
      <c r="A12" s="15">
        <v>11</v>
      </c>
      <c r="B12" s="16">
        <v>31</v>
      </c>
      <c r="C12" s="16" t="s">
        <v>6</v>
      </c>
      <c r="D12" s="16" t="s">
        <v>7</v>
      </c>
      <c r="E12" s="16">
        <v>900</v>
      </c>
      <c r="F12" s="17" t="s">
        <v>8</v>
      </c>
    </row>
    <row r="13" spans="1:9" ht="28" x14ac:dyDescent="0.35">
      <c r="A13" s="15">
        <v>12</v>
      </c>
      <c r="B13" s="16">
        <v>39</v>
      </c>
      <c r="C13" s="16" t="s">
        <v>9</v>
      </c>
      <c r="D13" s="16" t="s">
        <v>10</v>
      </c>
      <c r="E13" s="16">
        <v>1500</v>
      </c>
      <c r="F13" s="17" t="s">
        <v>11</v>
      </c>
    </row>
    <row r="14" spans="1:9" x14ac:dyDescent="0.35">
      <c r="A14" s="15">
        <v>13</v>
      </c>
      <c r="B14" s="16">
        <v>37</v>
      </c>
      <c r="C14" s="16" t="s">
        <v>6</v>
      </c>
      <c r="D14" s="16" t="s">
        <v>12</v>
      </c>
      <c r="E14" s="16">
        <v>600</v>
      </c>
      <c r="F14" s="17" t="s">
        <v>13</v>
      </c>
    </row>
    <row r="15" spans="1:9" x14ac:dyDescent="0.35">
      <c r="A15" s="15">
        <v>14</v>
      </c>
      <c r="B15" s="16">
        <v>22</v>
      </c>
      <c r="C15" s="16" t="s">
        <v>9</v>
      </c>
      <c r="D15" s="16" t="s">
        <v>14</v>
      </c>
      <c r="E15" s="16">
        <v>200</v>
      </c>
      <c r="F15" s="17" t="s">
        <v>8</v>
      </c>
    </row>
    <row r="16" spans="1:9" ht="28" x14ac:dyDescent="0.35">
      <c r="A16" s="15">
        <v>15</v>
      </c>
      <c r="B16" s="16">
        <v>44</v>
      </c>
      <c r="C16" s="16" t="s">
        <v>9</v>
      </c>
      <c r="D16" s="16" t="s">
        <v>15</v>
      </c>
      <c r="E16" s="16">
        <v>2500</v>
      </c>
      <c r="F16" s="17" t="s">
        <v>8</v>
      </c>
    </row>
    <row r="17" spans="1:6" x14ac:dyDescent="0.35">
      <c r="A17" s="15">
        <v>16</v>
      </c>
      <c r="B17" s="16">
        <v>27</v>
      </c>
      <c r="C17" s="16" t="s">
        <v>6</v>
      </c>
      <c r="D17" s="16" t="s">
        <v>16</v>
      </c>
      <c r="E17" s="16">
        <v>1100</v>
      </c>
      <c r="F17" s="17" t="s">
        <v>11</v>
      </c>
    </row>
    <row r="18" spans="1:6" x14ac:dyDescent="0.35">
      <c r="A18" s="15">
        <v>17</v>
      </c>
      <c r="B18" s="16">
        <v>30</v>
      </c>
      <c r="C18" s="16" t="s">
        <v>9</v>
      </c>
      <c r="D18" s="16" t="s">
        <v>17</v>
      </c>
      <c r="E18" s="16">
        <v>1200</v>
      </c>
      <c r="F18" s="17" t="s">
        <v>8</v>
      </c>
    </row>
    <row r="19" spans="1:6" x14ac:dyDescent="0.35">
      <c r="A19" s="15">
        <v>18</v>
      </c>
      <c r="B19" s="16">
        <v>26</v>
      </c>
      <c r="C19" s="16" t="s">
        <v>6</v>
      </c>
      <c r="D19" s="16" t="s">
        <v>18</v>
      </c>
      <c r="E19" s="16">
        <v>350</v>
      </c>
      <c r="F19" s="17" t="s">
        <v>13</v>
      </c>
    </row>
    <row r="20" spans="1:6" x14ac:dyDescent="0.35">
      <c r="A20" s="15">
        <v>19</v>
      </c>
      <c r="B20" s="16">
        <v>34</v>
      </c>
      <c r="C20" s="16" t="s">
        <v>9</v>
      </c>
      <c r="D20" s="16" t="s">
        <v>19</v>
      </c>
      <c r="E20" s="16">
        <v>800</v>
      </c>
      <c r="F20" s="17" t="s">
        <v>11</v>
      </c>
    </row>
    <row r="21" spans="1:6" x14ac:dyDescent="0.35">
      <c r="A21" s="15">
        <v>20</v>
      </c>
      <c r="B21" s="16">
        <v>48</v>
      </c>
      <c r="C21" s="16" t="s">
        <v>6</v>
      </c>
      <c r="D21" s="16" t="s">
        <v>20</v>
      </c>
      <c r="E21" s="16">
        <v>2000</v>
      </c>
      <c r="F21" s="17" t="s">
        <v>13</v>
      </c>
    </row>
    <row r="22" spans="1:6" x14ac:dyDescent="0.35">
      <c r="A22" s="15">
        <v>21</v>
      </c>
      <c r="B22" s="16">
        <v>39</v>
      </c>
      <c r="C22" s="16" t="s">
        <v>9</v>
      </c>
      <c r="D22" s="16" t="s">
        <v>7</v>
      </c>
      <c r="E22" s="16">
        <v>800</v>
      </c>
      <c r="F22" s="17" t="s">
        <v>8</v>
      </c>
    </row>
    <row r="23" spans="1:6" ht="28" x14ac:dyDescent="0.35">
      <c r="A23" s="15">
        <v>22</v>
      </c>
      <c r="B23" s="16">
        <v>28</v>
      </c>
      <c r="C23" s="16" t="s">
        <v>6</v>
      </c>
      <c r="D23" s="16" t="s">
        <v>10</v>
      </c>
      <c r="E23" s="16">
        <v>1200</v>
      </c>
      <c r="F23" s="17" t="s">
        <v>11</v>
      </c>
    </row>
    <row r="24" spans="1:6" x14ac:dyDescent="0.35">
      <c r="A24" s="15">
        <v>23</v>
      </c>
      <c r="B24" s="16">
        <v>43</v>
      </c>
      <c r="C24" s="16" t="s">
        <v>6</v>
      </c>
      <c r="D24" s="16" t="s">
        <v>12</v>
      </c>
      <c r="E24" s="16">
        <v>700</v>
      </c>
      <c r="F24" s="17" t="s">
        <v>13</v>
      </c>
    </row>
    <row r="25" spans="1:6" x14ac:dyDescent="0.35">
      <c r="A25" s="15">
        <v>24</v>
      </c>
      <c r="B25" s="16">
        <v>21</v>
      </c>
      <c r="C25" s="16" t="s">
        <v>9</v>
      </c>
      <c r="D25" s="16" t="s">
        <v>14</v>
      </c>
      <c r="E25" s="16">
        <v>150</v>
      </c>
      <c r="F25" s="17" t="s">
        <v>8</v>
      </c>
    </row>
    <row r="26" spans="1:6" ht="28" x14ac:dyDescent="0.35">
      <c r="A26" s="15">
        <v>25</v>
      </c>
      <c r="B26" s="16">
        <v>55</v>
      </c>
      <c r="C26" s="16" t="s">
        <v>9</v>
      </c>
      <c r="D26" s="16" t="s">
        <v>15</v>
      </c>
      <c r="E26" s="16">
        <v>2800</v>
      </c>
      <c r="F26" s="17" t="s">
        <v>8</v>
      </c>
    </row>
    <row r="27" spans="1:6" x14ac:dyDescent="0.35">
      <c r="A27" s="15">
        <v>26</v>
      </c>
      <c r="B27" s="16">
        <v>40</v>
      </c>
      <c r="C27" s="16" t="s">
        <v>6</v>
      </c>
      <c r="D27" s="16" t="s">
        <v>16</v>
      </c>
      <c r="E27" s="16">
        <v>1300</v>
      </c>
      <c r="F27" s="17" t="s">
        <v>11</v>
      </c>
    </row>
    <row r="28" spans="1:6" x14ac:dyDescent="0.35">
      <c r="A28" s="15">
        <v>27</v>
      </c>
      <c r="B28" s="16">
        <v>32</v>
      </c>
      <c r="C28" s="16" t="s">
        <v>9</v>
      </c>
      <c r="D28" s="16" t="s">
        <v>17</v>
      </c>
      <c r="E28" s="16">
        <v>900</v>
      </c>
      <c r="F28" s="17" t="s">
        <v>8</v>
      </c>
    </row>
    <row r="29" spans="1:6" x14ac:dyDescent="0.35">
      <c r="A29" s="15">
        <v>28</v>
      </c>
      <c r="B29" s="16">
        <v>23</v>
      </c>
      <c r="C29" s="16" t="s">
        <v>6</v>
      </c>
      <c r="D29" s="16" t="s">
        <v>18</v>
      </c>
      <c r="E29" s="16">
        <v>300</v>
      </c>
      <c r="F29" s="17" t="s">
        <v>13</v>
      </c>
    </row>
    <row r="30" spans="1:6" x14ac:dyDescent="0.35">
      <c r="A30" s="15">
        <v>29</v>
      </c>
      <c r="B30" s="16">
        <v>27</v>
      </c>
      <c r="C30" s="16" t="s">
        <v>9</v>
      </c>
      <c r="D30" s="16" t="s">
        <v>19</v>
      </c>
      <c r="E30" s="16">
        <v>600</v>
      </c>
      <c r="F30" s="17" t="s">
        <v>11</v>
      </c>
    </row>
    <row r="31" spans="1:6" x14ac:dyDescent="0.35">
      <c r="A31" s="15">
        <v>30</v>
      </c>
      <c r="B31" s="16">
        <v>46</v>
      </c>
      <c r="C31" s="16" t="s">
        <v>6</v>
      </c>
      <c r="D31" s="16" t="s">
        <v>20</v>
      </c>
      <c r="E31" s="16">
        <v>1700</v>
      </c>
      <c r="F31" s="17" t="s">
        <v>13</v>
      </c>
    </row>
    <row r="32" spans="1:6" x14ac:dyDescent="0.35">
      <c r="A32" s="15">
        <v>31</v>
      </c>
      <c r="B32" s="16">
        <v>36</v>
      </c>
      <c r="C32" s="16" t="s">
        <v>6</v>
      </c>
      <c r="D32" s="16" t="s">
        <v>7</v>
      </c>
      <c r="E32" s="16">
        <v>1400</v>
      </c>
      <c r="F32" s="17" t="s">
        <v>8</v>
      </c>
    </row>
    <row r="33" spans="1:6" ht="28" x14ac:dyDescent="0.35">
      <c r="A33" s="15">
        <v>32</v>
      </c>
      <c r="B33" s="16">
        <v>38</v>
      </c>
      <c r="C33" s="16" t="s">
        <v>9</v>
      </c>
      <c r="D33" s="16" t="s">
        <v>10</v>
      </c>
      <c r="E33" s="16">
        <v>1800</v>
      </c>
      <c r="F33" s="17" t="s">
        <v>11</v>
      </c>
    </row>
    <row r="34" spans="1:6" x14ac:dyDescent="0.35">
      <c r="A34" s="15">
        <v>33</v>
      </c>
      <c r="B34" s="16">
        <v>41</v>
      </c>
      <c r="C34" s="16" t="s">
        <v>6</v>
      </c>
      <c r="D34" s="16" t="s">
        <v>12</v>
      </c>
      <c r="E34" s="16">
        <v>900</v>
      </c>
      <c r="F34" s="17" t="s">
        <v>13</v>
      </c>
    </row>
    <row r="35" spans="1:6" x14ac:dyDescent="0.35">
      <c r="A35" s="15">
        <v>34</v>
      </c>
      <c r="B35" s="16">
        <v>20</v>
      </c>
      <c r="C35" s="16" t="s">
        <v>9</v>
      </c>
      <c r="D35" s="16" t="s">
        <v>14</v>
      </c>
      <c r="E35" s="16">
        <v>120</v>
      </c>
      <c r="F35" s="17" t="s">
        <v>13</v>
      </c>
    </row>
    <row r="36" spans="1:6" ht="28" x14ac:dyDescent="0.35">
      <c r="A36" s="15">
        <v>35</v>
      </c>
      <c r="B36" s="16">
        <v>57</v>
      </c>
      <c r="C36" s="16" t="s">
        <v>9</v>
      </c>
      <c r="D36" s="16" t="s">
        <v>15</v>
      </c>
      <c r="E36" s="16">
        <v>3200</v>
      </c>
      <c r="F36" s="17" t="s">
        <v>8</v>
      </c>
    </row>
    <row r="37" spans="1:6" x14ac:dyDescent="0.35">
      <c r="A37" s="15">
        <v>36</v>
      </c>
      <c r="B37" s="16">
        <v>43</v>
      </c>
      <c r="C37" s="16" t="s">
        <v>6</v>
      </c>
      <c r="D37" s="16" t="s">
        <v>16</v>
      </c>
      <c r="E37" s="16">
        <v>1400</v>
      </c>
      <c r="F37" s="17" t="s">
        <v>11</v>
      </c>
    </row>
    <row r="38" spans="1:6" x14ac:dyDescent="0.35">
      <c r="A38" s="15">
        <v>37</v>
      </c>
      <c r="B38" s="16">
        <v>34</v>
      </c>
      <c r="C38" s="16" t="s">
        <v>9</v>
      </c>
      <c r="D38" s="16" t="s">
        <v>17</v>
      </c>
      <c r="E38" s="16">
        <v>1000</v>
      </c>
      <c r="F38" s="17" t="s">
        <v>8</v>
      </c>
    </row>
    <row r="39" spans="1:6" x14ac:dyDescent="0.35">
      <c r="A39" s="15">
        <v>38</v>
      </c>
      <c r="B39" s="16">
        <v>25</v>
      </c>
      <c r="C39" s="16" t="s">
        <v>6</v>
      </c>
      <c r="D39" s="16" t="s">
        <v>18</v>
      </c>
      <c r="E39" s="16">
        <v>400</v>
      </c>
      <c r="F39" s="17" t="s">
        <v>13</v>
      </c>
    </row>
    <row r="40" spans="1:6" x14ac:dyDescent="0.35">
      <c r="A40" s="15">
        <v>39</v>
      </c>
      <c r="B40" s="16">
        <v>33</v>
      </c>
      <c r="C40" s="16" t="s">
        <v>9</v>
      </c>
      <c r="D40" s="16" t="s">
        <v>19</v>
      </c>
      <c r="E40" s="16">
        <v>750</v>
      </c>
      <c r="F40" s="17" t="s">
        <v>11</v>
      </c>
    </row>
    <row r="41" spans="1:6" x14ac:dyDescent="0.35">
      <c r="A41" s="15">
        <v>40</v>
      </c>
      <c r="B41" s="16">
        <v>47</v>
      </c>
      <c r="C41" s="16" t="s">
        <v>6</v>
      </c>
      <c r="D41" s="16" t="s">
        <v>20</v>
      </c>
      <c r="E41" s="16">
        <v>1900</v>
      </c>
      <c r="F41" s="17" t="s">
        <v>13</v>
      </c>
    </row>
    <row r="42" spans="1:6" x14ac:dyDescent="0.35">
      <c r="A42" s="15">
        <v>41</v>
      </c>
      <c r="B42" s="16">
        <v>30</v>
      </c>
      <c r="C42" s="16" t="s">
        <v>9</v>
      </c>
      <c r="D42" s="16" t="s">
        <v>7</v>
      </c>
      <c r="E42" s="16">
        <v>950</v>
      </c>
      <c r="F42" s="17" t="s">
        <v>8</v>
      </c>
    </row>
    <row r="43" spans="1:6" ht="28" x14ac:dyDescent="0.35">
      <c r="A43" s="15">
        <v>42</v>
      </c>
      <c r="B43" s="16">
        <v>29</v>
      </c>
      <c r="C43" s="16" t="s">
        <v>6</v>
      </c>
      <c r="D43" s="16" t="s">
        <v>10</v>
      </c>
      <c r="E43" s="16">
        <v>1100</v>
      </c>
      <c r="F43" s="17" t="s">
        <v>11</v>
      </c>
    </row>
    <row r="44" spans="1:6" x14ac:dyDescent="0.35">
      <c r="A44" s="15">
        <v>43</v>
      </c>
      <c r="B44" s="16">
        <v>44</v>
      </c>
      <c r="C44" s="16" t="s">
        <v>6</v>
      </c>
      <c r="D44" s="16" t="s">
        <v>12</v>
      </c>
      <c r="E44" s="16">
        <v>650</v>
      </c>
      <c r="F44" s="17" t="s">
        <v>13</v>
      </c>
    </row>
    <row r="45" spans="1:6" x14ac:dyDescent="0.35">
      <c r="A45" s="15">
        <v>44</v>
      </c>
      <c r="B45" s="16">
        <v>23</v>
      </c>
      <c r="C45" s="16" t="s">
        <v>9</v>
      </c>
      <c r="D45" s="16" t="s">
        <v>14</v>
      </c>
      <c r="E45" s="16">
        <v>180</v>
      </c>
      <c r="F45" s="17" t="s">
        <v>8</v>
      </c>
    </row>
    <row r="46" spans="1:6" ht="28" x14ac:dyDescent="0.35">
      <c r="A46" s="15">
        <v>45</v>
      </c>
      <c r="B46" s="16">
        <v>54</v>
      </c>
      <c r="C46" s="16" t="s">
        <v>9</v>
      </c>
      <c r="D46" s="16" t="s">
        <v>15</v>
      </c>
      <c r="E46" s="16">
        <v>2700</v>
      </c>
      <c r="F46" s="17" t="s">
        <v>8</v>
      </c>
    </row>
    <row r="47" spans="1:6" x14ac:dyDescent="0.35">
      <c r="A47" s="15">
        <v>46</v>
      </c>
      <c r="B47" s="16">
        <v>42</v>
      </c>
      <c r="C47" s="16" t="s">
        <v>6</v>
      </c>
      <c r="D47" s="16" t="s">
        <v>16</v>
      </c>
      <c r="E47" s="16">
        <v>1250</v>
      </c>
      <c r="F47" s="17" t="s">
        <v>11</v>
      </c>
    </row>
    <row r="48" spans="1:6" x14ac:dyDescent="0.35">
      <c r="A48" s="15">
        <v>47</v>
      </c>
      <c r="B48" s="16">
        <v>31</v>
      </c>
      <c r="C48" s="16" t="s">
        <v>9</v>
      </c>
      <c r="D48" s="16" t="s">
        <v>17</v>
      </c>
      <c r="E48" s="16">
        <v>850</v>
      </c>
      <c r="F48" s="17" t="s">
        <v>8</v>
      </c>
    </row>
    <row r="49" spans="1:6" x14ac:dyDescent="0.35">
      <c r="A49" s="15">
        <v>48</v>
      </c>
      <c r="B49" s="16">
        <v>22</v>
      </c>
      <c r="C49" s="16" t="s">
        <v>6</v>
      </c>
      <c r="D49" s="16" t="s">
        <v>18</v>
      </c>
      <c r="E49" s="16">
        <v>320</v>
      </c>
      <c r="F49" s="17" t="s">
        <v>13</v>
      </c>
    </row>
    <row r="50" spans="1:6" x14ac:dyDescent="0.35">
      <c r="A50" s="15">
        <v>49</v>
      </c>
      <c r="B50" s="16">
        <v>28</v>
      </c>
      <c r="C50" s="16" t="s">
        <v>9</v>
      </c>
      <c r="D50" s="16" t="s">
        <v>19</v>
      </c>
      <c r="E50" s="16">
        <v>650</v>
      </c>
      <c r="F50" s="17" t="s">
        <v>11</v>
      </c>
    </row>
    <row r="51" spans="1:6" ht="16.5" customHeight="1" x14ac:dyDescent="0.35">
      <c r="A51" s="27">
        <v>50</v>
      </c>
      <c r="B51" s="26">
        <v>49</v>
      </c>
      <c r="C51" s="26" t="s">
        <v>6</v>
      </c>
      <c r="D51" s="26" t="s">
        <v>20</v>
      </c>
      <c r="E51" s="26">
        <v>2752.9999999999982</v>
      </c>
      <c r="F51" s="28" t="s">
        <v>13</v>
      </c>
    </row>
    <row r="52" spans="1:6" x14ac:dyDescent="0.35">
      <c r="A52" s="15">
        <v>51</v>
      </c>
      <c r="B52" s="16">
        <v>35</v>
      </c>
      <c r="C52" s="16" t="s">
        <v>6</v>
      </c>
      <c r="D52" s="16" t="s">
        <v>7</v>
      </c>
      <c r="E52" s="16">
        <v>1600</v>
      </c>
      <c r="F52" s="17" t="s">
        <v>8</v>
      </c>
    </row>
    <row r="53" spans="1:6" ht="28" x14ac:dyDescent="0.35">
      <c r="A53" s="15">
        <v>52</v>
      </c>
      <c r="B53" s="16">
        <v>37</v>
      </c>
      <c r="C53" s="16" t="s">
        <v>9</v>
      </c>
      <c r="D53" s="16" t="s">
        <v>10</v>
      </c>
      <c r="E53" s="16">
        <v>2200</v>
      </c>
      <c r="F53" s="17" t="s">
        <v>11</v>
      </c>
    </row>
    <row r="54" spans="1:6" x14ac:dyDescent="0.35">
      <c r="A54" s="15">
        <v>53</v>
      </c>
      <c r="B54" s="16">
        <v>40</v>
      </c>
      <c r="C54" s="16" t="s">
        <v>6</v>
      </c>
      <c r="D54" s="16" t="s">
        <v>12</v>
      </c>
      <c r="E54" s="16">
        <v>750</v>
      </c>
      <c r="F54" s="17" t="s">
        <v>13</v>
      </c>
    </row>
    <row r="55" spans="1:6" x14ac:dyDescent="0.35">
      <c r="A55" s="15">
        <v>54</v>
      </c>
      <c r="B55" s="16">
        <v>18</v>
      </c>
      <c r="C55" s="16" t="s">
        <v>9</v>
      </c>
      <c r="D55" s="16" t="s">
        <v>14</v>
      </c>
      <c r="E55" s="16">
        <v>80</v>
      </c>
      <c r="F55" s="17" t="s">
        <v>8</v>
      </c>
    </row>
    <row r="56" spans="1:6" ht="28" x14ac:dyDescent="0.35">
      <c r="A56" s="15">
        <v>55</v>
      </c>
      <c r="B56" s="16">
        <v>53</v>
      </c>
      <c r="C56" s="16" t="s">
        <v>9</v>
      </c>
      <c r="D56" s="16" t="s">
        <v>15</v>
      </c>
      <c r="E56" s="16">
        <v>3500</v>
      </c>
      <c r="F56" s="17" t="s">
        <v>8</v>
      </c>
    </row>
    <row r="57" spans="1:6" x14ac:dyDescent="0.35">
      <c r="A57" s="15">
        <v>56</v>
      </c>
      <c r="B57" s="16">
        <v>39</v>
      </c>
      <c r="C57" s="16" t="s">
        <v>6</v>
      </c>
      <c r="D57" s="16" t="s">
        <v>16</v>
      </c>
      <c r="E57" s="16">
        <v>1400</v>
      </c>
      <c r="F57" s="17" t="s">
        <v>11</v>
      </c>
    </row>
    <row r="58" spans="1:6" x14ac:dyDescent="0.35">
      <c r="A58" s="15">
        <v>57</v>
      </c>
      <c r="B58" s="16">
        <v>32</v>
      </c>
      <c r="C58" s="16" t="s">
        <v>9</v>
      </c>
      <c r="D58" s="16" t="s">
        <v>17</v>
      </c>
      <c r="E58" s="16">
        <v>950</v>
      </c>
      <c r="F58" s="17" t="s">
        <v>8</v>
      </c>
    </row>
    <row r="59" spans="1:6" x14ac:dyDescent="0.35">
      <c r="A59" s="15">
        <v>58</v>
      </c>
      <c r="B59" s="16">
        <v>24</v>
      </c>
      <c r="C59" s="16" t="s">
        <v>6</v>
      </c>
      <c r="D59" s="16" t="s">
        <v>18</v>
      </c>
      <c r="E59" s="16">
        <v>280</v>
      </c>
      <c r="F59" s="17" t="s">
        <v>13</v>
      </c>
    </row>
    <row r="60" spans="1:6" x14ac:dyDescent="0.35">
      <c r="A60" s="15">
        <v>59</v>
      </c>
      <c r="B60" s="16">
        <v>31</v>
      </c>
      <c r="C60" s="16" t="s">
        <v>9</v>
      </c>
      <c r="D60" s="16" t="s">
        <v>19</v>
      </c>
      <c r="E60" s="16">
        <v>650</v>
      </c>
      <c r="F60" s="17" t="s">
        <v>11</v>
      </c>
    </row>
    <row r="61" spans="1:6" ht="15" thickBot="1" x14ac:dyDescent="0.4">
      <c r="A61" s="18">
        <v>60</v>
      </c>
      <c r="B61" s="19">
        <v>50</v>
      </c>
      <c r="C61" s="19" t="s">
        <v>6</v>
      </c>
      <c r="D61" s="19" t="s">
        <v>20</v>
      </c>
      <c r="E61" s="19">
        <v>2300</v>
      </c>
      <c r="F61" s="20" t="s">
        <v>13</v>
      </c>
    </row>
    <row r="62" spans="1:6" x14ac:dyDescent="0.35">
      <c r="D62" s="24" t="s">
        <v>25</v>
      </c>
      <c r="E62" s="25">
        <f>AVERAGE(E2:E61)</f>
        <v>1190.55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36B7C-EA32-4A26-B980-34403AE7A6A7}">
  <dimension ref="A1:K61"/>
  <sheetViews>
    <sheetView workbookViewId="0">
      <pane ySplit="1" topLeftCell="A2" activePane="bottomLeft" state="frozen"/>
      <selection pane="bottomLeft" activeCell="H6" sqref="H6"/>
    </sheetView>
  </sheetViews>
  <sheetFormatPr defaultRowHeight="14.5" x14ac:dyDescent="0.35"/>
  <cols>
    <col min="1" max="1" width="14.36328125" customWidth="1"/>
    <col min="4" max="4" width="12" customWidth="1"/>
    <col min="6" max="6" width="15" customWidth="1"/>
    <col min="8" max="8" width="20.54296875" customWidth="1"/>
    <col min="9" max="9" width="29.90625" customWidth="1"/>
    <col min="10" max="10" width="12.453125" customWidth="1"/>
    <col min="11" max="11" width="15.36328125" customWidth="1"/>
    <col min="12" max="12" width="11.08984375" customWidth="1"/>
  </cols>
  <sheetData>
    <row r="1" spans="1:11" ht="32" x14ac:dyDescent="0.35">
      <c r="A1" s="1" t="s">
        <v>0</v>
      </c>
      <c r="B1" s="2" t="s">
        <v>1</v>
      </c>
      <c r="C1" s="2" t="s">
        <v>2</v>
      </c>
      <c r="D1" s="2" t="s">
        <v>3</v>
      </c>
      <c r="E1" s="2" t="s">
        <v>4</v>
      </c>
      <c r="F1" s="3" t="s">
        <v>5</v>
      </c>
    </row>
    <row r="2" spans="1:11" ht="16" x14ac:dyDescent="0.35">
      <c r="A2" s="4">
        <v>1</v>
      </c>
      <c r="B2" s="5">
        <v>28</v>
      </c>
      <c r="C2" s="5" t="s">
        <v>6</v>
      </c>
      <c r="D2" s="5" t="s">
        <v>7</v>
      </c>
      <c r="E2" s="5">
        <v>1500</v>
      </c>
      <c r="F2" s="6" t="s">
        <v>8</v>
      </c>
      <c r="K2" t="s">
        <v>11</v>
      </c>
    </row>
    <row r="3" spans="1:11" ht="20.5" customHeight="1" x14ac:dyDescent="0.35">
      <c r="A3" s="4">
        <v>2</v>
      </c>
      <c r="B3" s="5">
        <v>35</v>
      </c>
      <c r="C3" s="5" t="s">
        <v>9</v>
      </c>
      <c r="D3" s="5" t="s">
        <v>10</v>
      </c>
      <c r="E3" s="5">
        <v>2000</v>
      </c>
      <c r="F3" s="6" t="s">
        <v>11</v>
      </c>
      <c r="H3" s="30" t="s">
        <v>27</v>
      </c>
      <c r="I3" s="30" t="s">
        <v>32</v>
      </c>
      <c r="K3" t="s">
        <v>8</v>
      </c>
    </row>
    <row r="4" spans="1:11" ht="16" x14ac:dyDescent="0.35">
      <c r="A4" s="4">
        <v>3</v>
      </c>
      <c r="B4" s="5">
        <v>42</v>
      </c>
      <c r="C4" s="5" t="s">
        <v>6</v>
      </c>
      <c r="D4" s="5" t="s">
        <v>12</v>
      </c>
      <c r="E4" s="5">
        <v>500</v>
      </c>
      <c r="F4" s="6" t="s">
        <v>13</v>
      </c>
      <c r="K4" t="s">
        <v>31</v>
      </c>
    </row>
    <row r="5" spans="1:11" ht="21.5" customHeight="1" x14ac:dyDescent="0.35">
      <c r="A5" s="4">
        <v>4</v>
      </c>
      <c r="B5" s="5">
        <v>19</v>
      </c>
      <c r="C5" s="5" t="s">
        <v>9</v>
      </c>
      <c r="D5" s="5" t="s">
        <v>14</v>
      </c>
      <c r="E5" s="5">
        <v>100</v>
      </c>
      <c r="F5" s="6" t="s">
        <v>8</v>
      </c>
      <c r="H5" s="34" t="s">
        <v>5</v>
      </c>
      <c r="I5" s="34" t="s">
        <v>33</v>
      </c>
      <c r="J5" s="34" t="s">
        <v>28</v>
      </c>
      <c r="K5" s="34" t="s">
        <v>29</v>
      </c>
    </row>
    <row r="6" spans="1:11" ht="16" x14ac:dyDescent="0.35">
      <c r="A6" s="4">
        <v>5</v>
      </c>
      <c r="B6" s="5">
        <v>56</v>
      </c>
      <c r="C6" s="5" t="s">
        <v>9</v>
      </c>
      <c r="D6" s="5" t="s">
        <v>15</v>
      </c>
      <c r="E6" s="5">
        <v>3000</v>
      </c>
      <c r="F6" s="6" t="s">
        <v>8</v>
      </c>
      <c r="H6" s="30" t="s">
        <v>8</v>
      </c>
      <c r="I6" s="31">
        <f>SUMIF(F2:F61,H6,E2:E61)/SUM(E2:E61)</f>
        <v>0.43761286800218385</v>
      </c>
      <c r="J6">
        <f>COUNTIF(F2:F61,H6)</f>
        <v>23</v>
      </c>
      <c r="K6" s="33">
        <f>AVERAGEIF(F2:F61,H6,B2:B61)</f>
        <v>35.347826086956523</v>
      </c>
    </row>
    <row r="7" spans="1:11" ht="16" x14ac:dyDescent="0.35">
      <c r="A7" s="4">
        <v>6</v>
      </c>
      <c r="B7" s="5">
        <v>41</v>
      </c>
      <c r="C7" s="5" t="s">
        <v>6</v>
      </c>
      <c r="D7" s="5" t="s">
        <v>16</v>
      </c>
      <c r="E7" s="5">
        <v>1200</v>
      </c>
      <c r="F7" s="6" t="s">
        <v>11</v>
      </c>
      <c r="H7" s="30" t="s">
        <v>30</v>
      </c>
      <c r="I7" s="32">
        <f>1-I6</f>
        <v>0.5623871319978162</v>
      </c>
    </row>
    <row r="8" spans="1:11" ht="16" x14ac:dyDescent="0.35">
      <c r="A8" s="4">
        <v>7</v>
      </c>
      <c r="B8" s="5">
        <v>33</v>
      </c>
      <c r="C8" s="5" t="s">
        <v>9</v>
      </c>
      <c r="D8" s="5" t="s">
        <v>17</v>
      </c>
      <c r="E8" s="5">
        <v>800</v>
      </c>
      <c r="F8" s="6" t="s">
        <v>8</v>
      </c>
    </row>
    <row r="9" spans="1:11" ht="16" x14ac:dyDescent="0.35">
      <c r="A9" s="4">
        <v>8</v>
      </c>
      <c r="B9" s="5">
        <v>24</v>
      </c>
      <c r="C9" s="5" t="s">
        <v>6</v>
      </c>
      <c r="D9" s="5" t="s">
        <v>18</v>
      </c>
      <c r="E9" s="5">
        <v>250</v>
      </c>
      <c r="F9" s="6" t="s">
        <v>13</v>
      </c>
    </row>
    <row r="10" spans="1:11" ht="16" x14ac:dyDescent="0.35">
      <c r="A10" s="4">
        <v>9</v>
      </c>
      <c r="B10" s="5">
        <v>29</v>
      </c>
      <c r="C10" s="5" t="s">
        <v>9</v>
      </c>
      <c r="D10" s="5" t="s">
        <v>19</v>
      </c>
      <c r="E10" s="5">
        <v>700</v>
      </c>
      <c r="F10" s="6" t="s">
        <v>11</v>
      </c>
    </row>
    <row r="11" spans="1:11" ht="16" x14ac:dyDescent="0.35">
      <c r="A11" s="4">
        <v>10</v>
      </c>
      <c r="B11" s="5">
        <v>45</v>
      </c>
      <c r="C11" s="5" t="s">
        <v>6</v>
      </c>
      <c r="D11" s="5" t="s">
        <v>20</v>
      </c>
      <c r="E11" s="5">
        <v>1800</v>
      </c>
      <c r="F11" s="6" t="s">
        <v>13</v>
      </c>
    </row>
    <row r="12" spans="1:11" ht="16" x14ac:dyDescent="0.35">
      <c r="A12" s="4">
        <v>11</v>
      </c>
      <c r="B12" s="5">
        <v>31</v>
      </c>
      <c r="C12" s="5" t="s">
        <v>6</v>
      </c>
      <c r="D12" s="5" t="s">
        <v>7</v>
      </c>
      <c r="E12" s="5">
        <v>900</v>
      </c>
      <c r="F12" s="6" t="s">
        <v>8</v>
      </c>
    </row>
    <row r="13" spans="1:11" ht="16" x14ac:dyDescent="0.35">
      <c r="A13" s="4">
        <v>12</v>
      </c>
      <c r="B13" s="5">
        <v>39</v>
      </c>
      <c r="C13" s="5" t="s">
        <v>9</v>
      </c>
      <c r="D13" s="5" t="s">
        <v>10</v>
      </c>
      <c r="E13" s="5">
        <v>1500</v>
      </c>
      <c r="F13" s="6" t="s">
        <v>11</v>
      </c>
    </row>
    <row r="14" spans="1:11" ht="16" x14ac:dyDescent="0.35">
      <c r="A14" s="4">
        <v>13</v>
      </c>
      <c r="B14" s="5">
        <v>37</v>
      </c>
      <c r="C14" s="5" t="s">
        <v>6</v>
      </c>
      <c r="D14" s="5" t="s">
        <v>12</v>
      </c>
      <c r="E14" s="5">
        <v>600</v>
      </c>
      <c r="F14" s="6" t="s">
        <v>13</v>
      </c>
    </row>
    <row r="15" spans="1:11" ht="16" x14ac:dyDescent="0.35">
      <c r="A15" s="4">
        <v>14</v>
      </c>
      <c r="B15" s="5">
        <v>22</v>
      </c>
      <c r="C15" s="5" t="s">
        <v>9</v>
      </c>
      <c r="D15" s="5" t="s">
        <v>14</v>
      </c>
      <c r="E15" s="5">
        <v>200</v>
      </c>
      <c r="F15" s="6" t="s">
        <v>8</v>
      </c>
    </row>
    <row r="16" spans="1:11" ht="16" x14ac:dyDescent="0.35">
      <c r="A16" s="4">
        <v>15</v>
      </c>
      <c r="B16" s="5">
        <v>44</v>
      </c>
      <c r="C16" s="5" t="s">
        <v>9</v>
      </c>
      <c r="D16" s="5" t="s">
        <v>15</v>
      </c>
      <c r="E16" s="5">
        <v>2500</v>
      </c>
      <c r="F16" s="6" t="s">
        <v>8</v>
      </c>
    </row>
    <row r="17" spans="1:6" ht="16" x14ac:dyDescent="0.35">
      <c r="A17" s="4">
        <v>16</v>
      </c>
      <c r="B17" s="5">
        <v>27</v>
      </c>
      <c r="C17" s="5" t="s">
        <v>6</v>
      </c>
      <c r="D17" s="5" t="s">
        <v>16</v>
      </c>
      <c r="E17" s="5">
        <v>1100</v>
      </c>
      <c r="F17" s="6" t="s">
        <v>11</v>
      </c>
    </row>
    <row r="18" spans="1:6" ht="16" x14ac:dyDescent="0.35">
      <c r="A18" s="4">
        <v>17</v>
      </c>
      <c r="B18" s="5">
        <v>30</v>
      </c>
      <c r="C18" s="5" t="s">
        <v>9</v>
      </c>
      <c r="D18" s="5" t="s">
        <v>17</v>
      </c>
      <c r="E18" s="5">
        <v>1200</v>
      </c>
      <c r="F18" s="6" t="s">
        <v>8</v>
      </c>
    </row>
    <row r="19" spans="1:6" ht="16" x14ac:dyDescent="0.35">
      <c r="A19" s="4">
        <v>18</v>
      </c>
      <c r="B19" s="5">
        <v>26</v>
      </c>
      <c r="C19" s="5" t="s">
        <v>6</v>
      </c>
      <c r="D19" s="5" t="s">
        <v>18</v>
      </c>
      <c r="E19" s="5">
        <v>350</v>
      </c>
      <c r="F19" s="6" t="s">
        <v>13</v>
      </c>
    </row>
    <row r="20" spans="1:6" ht="16" x14ac:dyDescent="0.35">
      <c r="A20" s="4">
        <v>19</v>
      </c>
      <c r="B20" s="5">
        <v>34</v>
      </c>
      <c r="C20" s="5" t="s">
        <v>9</v>
      </c>
      <c r="D20" s="5" t="s">
        <v>19</v>
      </c>
      <c r="E20" s="5">
        <v>800</v>
      </c>
      <c r="F20" s="6" t="s">
        <v>11</v>
      </c>
    </row>
    <row r="21" spans="1:6" ht="16" x14ac:dyDescent="0.35">
      <c r="A21" s="4">
        <v>20</v>
      </c>
      <c r="B21" s="5">
        <v>48</v>
      </c>
      <c r="C21" s="5" t="s">
        <v>6</v>
      </c>
      <c r="D21" s="5" t="s">
        <v>20</v>
      </c>
      <c r="E21" s="5">
        <v>2000</v>
      </c>
      <c r="F21" s="6" t="s">
        <v>13</v>
      </c>
    </row>
    <row r="22" spans="1:6" ht="16" x14ac:dyDescent="0.35">
      <c r="A22" s="4">
        <v>21</v>
      </c>
      <c r="B22" s="5">
        <v>39</v>
      </c>
      <c r="C22" s="5" t="s">
        <v>9</v>
      </c>
      <c r="D22" s="5" t="s">
        <v>7</v>
      </c>
      <c r="E22" s="5">
        <v>800</v>
      </c>
      <c r="F22" s="6" t="s">
        <v>8</v>
      </c>
    </row>
    <row r="23" spans="1:6" ht="16" x14ac:dyDescent="0.35">
      <c r="A23" s="4">
        <v>22</v>
      </c>
      <c r="B23" s="5">
        <v>28</v>
      </c>
      <c r="C23" s="5" t="s">
        <v>6</v>
      </c>
      <c r="D23" s="5" t="s">
        <v>10</v>
      </c>
      <c r="E23" s="5">
        <v>1200</v>
      </c>
      <c r="F23" s="6" t="s">
        <v>11</v>
      </c>
    </row>
    <row r="24" spans="1:6" ht="16" x14ac:dyDescent="0.35">
      <c r="A24" s="4">
        <v>23</v>
      </c>
      <c r="B24" s="5">
        <v>43</v>
      </c>
      <c r="C24" s="5" t="s">
        <v>6</v>
      </c>
      <c r="D24" s="5" t="s">
        <v>12</v>
      </c>
      <c r="E24" s="5">
        <v>700</v>
      </c>
      <c r="F24" s="6" t="s">
        <v>13</v>
      </c>
    </row>
    <row r="25" spans="1:6" ht="16" x14ac:dyDescent="0.35">
      <c r="A25" s="4">
        <v>24</v>
      </c>
      <c r="B25" s="5">
        <v>21</v>
      </c>
      <c r="C25" s="5" t="s">
        <v>9</v>
      </c>
      <c r="D25" s="5" t="s">
        <v>14</v>
      </c>
      <c r="E25" s="5">
        <v>150</v>
      </c>
      <c r="F25" s="6" t="s">
        <v>8</v>
      </c>
    </row>
    <row r="26" spans="1:6" ht="16" x14ac:dyDescent="0.35">
      <c r="A26" s="4">
        <v>25</v>
      </c>
      <c r="B26" s="5">
        <v>55</v>
      </c>
      <c r="C26" s="5" t="s">
        <v>9</v>
      </c>
      <c r="D26" s="5" t="s">
        <v>15</v>
      </c>
      <c r="E26" s="5">
        <v>2800</v>
      </c>
      <c r="F26" s="6" t="s">
        <v>8</v>
      </c>
    </row>
    <row r="27" spans="1:6" ht="16" x14ac:dyDescent="0.35">
      <c r="A27" s="4">
        <v>26</v>
      </c>
      <c r="B27" s="5">
        <v>40</v>
      </c>
      <c r="C27" s="5" t="s">
        <v>6</v>
      </c>
      <c r="D27" s="5" t="s">
        <v>16</v>
      </c>
      <c r="E27" s="5">
        <v>1300</v>
      </c>
      <c r="F27" s="6" t="s">
        <v>11</v>
      </c>
    </row>
    <row r="28" spans="1:6" ht="16" x14ac:dyDescent="0.35">
      <c r="A28" s="4">
        <v>27</v>
      </c>
      <c r="B28" s="5">
        <v>32</v>
      </c>
      <c r="C28" s="5" t="s">
        <v>9</v>
      </c>
      <c r="D28" s="5" t="s">
        <v>17</v>
      </c>
      <c r="E28" s="5">
        <v>900</v>
      </c>
      <c r="F28" s="6" t="s">
        <v>8</v>
      </c>
    </row>
    <row r="29" spans="1:6" ht="16" x14ac:dyDescent="0.35">
      <c r="A29" s="4">
        <v>28</v>
      </c>
      <c r="B29" s="5">
        <v>23</v>
      </c>
      <c r="C29" s="5" t="s">
        <v>6</v>
      </c>
      <c r="D29" s="5" t="s">
        <v>18</v>
      </c>
      <c r="E29" s="5">
        <v>300</v>
      </c>
      <c r="F29" s="6" t="s">
        <v>13</v>
      </c>
    </row>
    <row r="30" spans="1:6" ht="16" x14ac:dyDescent="0.35">
      <c r="A30" s="4">
        <v>29</v>
      </c>
      <c r="B30" s="5">
        <v>27</v>
      </c>
      <c r="C30" s="5" t="s">
        <v>9</v>
      </c>
      <c r="D30" s="5" t="s">
        <v>19</v>
      </c>
      <c r="E30" s="5">
        <v>600</v>
      </c>
      <c r="F30" s="6" t="s">
        <v>11</v>
      </c>
    </row>
    <row r="31" spans="1:6" ht="16" x14ac:dyDescent="0.35">
      <c r="A31" s="4">
        <v>30</v>
      </c>
      <c r="B31" s="5">
        <v>46</v>
      </c>
      <c r="C31" s="5" t="s">
        <v>6</v>
      </c>
      <c r="D31" s="5" t="s">
        <v>20</v>
      </c>
      <c r="E31" s="5">
        <v>1700</v>
      </c>
      <c r="F31" s="6" t="s">
        <v>13</v>
      </c>
    </row>
    <row r="32" spans="1:6" ht="16" x14ac:dyDescent="0.35">
      <c r="A32" s="4">
        <v>31</v>
      </c>
      <c r="B32" s="5">
        <v>36</v>
      </c>
      <c r="C32" s="5" t="s">
        <v>6</v>
      </c>
      <c r="D32" s="5" t="s">
        <v>7</v>
      </c>
      <c r="E32" s="5">
        <v>1400</v>
      </c>
      <c r="F32" s="6" t="s">
        <v>8</v>
      </c>
    </row>
    <row r="33" spans="1:6" ht="16" x14ac:dyDescent="0.35">
      <c r="A33" s="4">
        <v>32</v>
      </c>
      <c r="B33" s="5">
        <v>38</v>
      </c>
      <c r="C33" s="5" t="s">
        <v>9</v>
      </c>
      <c r="D33" s="5" t="s">
        <v>10</v>
      </c>
      <c r="E33" s="5">
        <v>1800</v>
      </c>
      <c r="F33" s="6" t="s">
        <v>11</v>
      </c>
    </row>
    <row r="34" spans="1:6" ht="16" x14ac:dyDescent="0.35">
      <c r="A34" s="4">
        <v>33</v>
      </c>
      <c r="B34" s="5">
        <v>41</v>
      </c>
      <c r="C34" s="5" t="s">
        <v>6</v>
      </c>
      <c r="D34" s="5" t="s">
        <v>12</v>
      </c>
      <c r="E34" s="5">
        <v>900</v>
      </c>
      <c r="F34" s="6" t="s">
        <v>13</v>
      </c>
    </row>
    <row r="35" spans="1:6" ht="16" x14ac:dyDescent="0.35">
      <c r="A35" s="4">
        <v>34</v>
      </c>
      <c r="B35" s="5">
        <v>20</v>
      </c>
      <c r="C35" s="5" t="s">
        <v>9</v>
      </c>
      <c r="D35" s="5" t="s">
        <v>14</v>
      </c>
      <c r="E35" s="5">
        <v>120</v>
      </c>
      <c r="F35" s="6" t="s">
        <v>13</v>
      </c>
    </row>
    <row r="36" spans="1:6" ht="16" x14ac:dyDescent="0.35">
      <c r="A36" s="4">
        <v>35</v>
      </c>
      <c r="B36" s="5">
        <v>57</v>
      </c>
      <c r="C36" s="5" t="s">
        <v>9</v>
      </c>
      <c r="D36" s="5" t="s">
        <v>15</v>
      </c>
      <c r="E36" s="5">
        <v>3200</v>
      </c>
      <c r="F36" s="6" t="s">
        <v>8</v>
      </c>
    </row>
    <row r="37" spans="1:6" ht="16" x14ac:dyDescent="0.35">
      <c r="A37" s="4">
        <v>36</v>
      </c>
      <c r="B37" s="5">
        <v>43</v>
      </c>
      <c r="C37" s="5" t="s">
        <v>6</v>
      </c>
      <c r="D37" s="5" t="s">
        <v>16</v>
      </c>
      <c r="E37" s="5">
        <v>1400</v>
      </c>
      <c r="F37" s="6" t="s">
        <v>11</v>
      </c>
    </row>
    <row r="38" spans="1:6" ht="16" x14ac:dyDescent="0.35">
      <c r="A38" s="4">
        <v>37</v>
      </c>
      <c r="B38" s="5">
        <v>34</v>
      </c>
      <c r="C38" s="5" t="s">
        <v>9</v>
      </c>
      <c r="D38" s="5" t="s">
        <v>17</v>
      </c>
      <c r="E38" s="5">
        <v>1000</v>
      </c>
      <c r="F38" s="6" t="s">
        <v>8</v>
      </c>
    </row>
    <row r="39" spans="1:6" ht="16" x14ac:dyDescent="0.35">
      <c r="A39" s="4">
        <v>38</v>
      </c>
      <c r="B39" s="5">
        <v>25</v>
      </c>
      <c r="C39" s="5" t="s">
        <v>6</v>
      </c>
      <c r="D39" s="5" t="s">
        <v>18</v>
      </c>
      <c r="E39" s="5">
        <v>400</v>
      </c>
      <c r="F39" s="6" t="s">
        <v>13</v>
      </c>
    </row>
    <row r="40" spans="1:6" ht="16" x14ac:dyDescent="0.35">
      <c r="A40" s="4">
        <v>39</v>
      </c>
      <c r="B40" s="5">
        <v>33</v>
      </c>
      <c r="C40" s="5" t="s">
        <v>9</v>
      </c>
      <c r="D40" s="5" t="s">
        <v>19</v>
      </c>
      <c r="E40" s="5">
        <v>750</v>
      </c>
      <c r="F40" s="6" t="s">
        <v>11</v>
      </c>
    </row>
    <row r="41" spans="1:6" ht="16" x14ac:dyDescent="0.35">
      <c r="A41" s="4">
        <v>40</v>
      </c>
      <c r="B41" s="5">
        <v>47</v>
      </c>
      <c r="C41" s="5" t="s">
        <v>6</v>
      </c>
      <c r="D41" s="5" t="s">
        <v>20</v>
      </c>
      <c r="E41" s="5">
        <v>1900</v>
      </c>
      <c r="F41" s="6" t="s">
        <v>13</v>
      </c>
    </row>
    <row r="42" spans="1:6" ht="16" x14ac:dyDescent="0.35">
      <c r="A42" s="4">
        <v>41</v>
      </c>
      <c r="B42" s="5">
        <v>30</v>
      </c>
      <c r="C42" s="5" t="s">
        <v>9</v>
      </c>
      <c r="D42" s="5" t="s">
        <v>7</v>
      </c>
      <c r="E42" s="5">
        <v>950</v>
      </c>
      <c r="F42" s="6" t="s">
        <v>8</v>
      </c>
    </row>
    <row r="43" spans="1:6" ht="16" x14ac:dyDescent="0.35">
      <c r="A43" s="4">
        <v>42</v>
      </c>
      <c r="B43" s="5">
        <v>29</v>
      </c>
      <c r="C43" s="5" t="s">
        <v>6</v>
      </c>
      <c r="D43" s="5" t="s">
        <v>10</v>
      </c>
      <c r="E43" s="5">
        <v>1100</v>
      </c>
      <c r="F43" s="6" t="s">
        <v>11</v>
      </c>
    </row>
    <row r="44" spans="1:6" ht="16" x14ac:dyDescent="0.35">
      <c r="A44" s="4">
        <v>43</v>
      </c>
      <c r="B44" s="5">
        <v>44</v>
      </c>
      <c r="C44" s="5" t="s">
        <v>6</v>
      </c>
      <c r="D44" s="5" t="s">
        <v>12</v>
      </c>
      <c r="E44" s="5">
        <v>650</v>
      </c>
      <c r="F44" s="6" t="s">
        <v>13</v>
      </c>
    </row>
    <row r="45" spans="1:6" ht="16" x14ac:dyDescent="0.35">
      <c r="A45" s="4">
        <v>44</v>
      </c>
      <c r="B45" s="5">
        <v>23</v>
      </c>
      <c r="C45" s="5" t="s">
        <v>9</v>
      </c>
      <c r="D45" s="5" t="s">
        <v>14</v>
      </c>
      <c r="E45" s="5">
        <v>180</v>
      </c>
      <c r="F45" s="6" t="s">
        <v>8</v>
      </c>
    </row>
    <row r="46" spans="1:6" ht="16" x14ac:dyDescent="0.35">
      <c r="A46" s="4">
        <v>45</v>
      </c>
      <c r="B46" s="5">
        <v>54</v>
      </c>
      <c r="C46" s="5" t="s">
        <v>9</v>
      </c>
      <c r="D46" s="5" t="s">
        <v>15</v>
      </c>
      <c r="E46" s="5">
        <v>2700</v>
      </c>
      <c r="F46" s="6" t="s">
        <v>8</v>
      </c>
    </row>
    <row r="47" spans="1:6" ht="16" x14ac:dyDescent="0.35">
      <c r="A47" s="4">
        <v>46</v>
      </c>
      <c r="B47" s="5">
        <v>42</v>
      </c>
      <c r="C47" s="5" t="s">
        <v>6</v>
      </c>
      <c r="D47" s="5" t="s">
        <v>16</v>
      </c>
      <c r="E47" s="5">
        <v>1250</v>
      </c>
      <c r="F47" s="6" t="s">
        <v>11</v>
      </c>
    </row>
    <row r="48" spans="1:6" ht="16" x14ac:dyDescent="0.35">
      <c r="A48" s="4">
        <v>47</v>
      </c>
      <c r="B48" s="5">
        <v>31</v>
      </c>
      <c r="C48" s="5" t="s">
        <v>9</v>
      </c>
      <c r="D48" s="5" t="s">
        <v>17</v>
      </c>
      <c r="E48" s="5">
        <v>850</v>
      </c>
      <c r="F48" s="6" t="s">
        <v>8</v>
      </c>
    </row>
    <row r="49" spans="1:6" ht="16" x14ac:dyDescent="0.35">
      <c r="A49" s="4">
        <v>48</v>
      </c>
      <c r="B49" s="5">
        <v>22</v>
      </c>
      <c r="C49" s="5" t="s">
        <v>6</v>
      </c>
      <c r="D49" s="5" t="s">
        <v>18</v>
      </c>
      <c r="E49" s="5">
        <v>320</v>
      </c>
      <c r="F49" s="6" t="s">
        <v>13</v>
      </c>
    </row>
    <row r="50" spans="1:6" ht="16" x14ac:dyDescent="0.35">
      <c r="A50" s="4">
        <v>49</v>
      </c>
      <c r="B50" s="5">
        <v>28</v>
      </c>
      <c r="C50" s="5" t="s">
        <v>9</v>
      </c>
      <c r="D50" s="5" t="s">
        <v>19</v>
      </c>
      <c r="E50" s="5">
        <v>650</v>
      </c>
      <c r="F50" s="6" t="s">
        <v>11</v>
      </c>
    </row>
    <row r="51" spans="1:6" ht="16" x14ac:dyDescent="0.35">
      <c r="A51" s="4">
        <v>50</v>
      </c>
      <c r="B51" s="5">
        <v>49</v>
      </c>
      <c r="C51" s="5" t="s">
        <v>6</v>
      </c>
      <c r="D51" s="5" t="s">
        <v>20</v>
      </c>
      <c r="E51" s="5">
        <v>2753</v>
      </c>
      <c r="F51" s="6" t="s">
        <v>13</v>
      </c>
    </row>
    <row r="52" spans="1:6" ht="16" x14ac:dyDescent="0.35">
      <c r="A52" s="4">
        <v>51</v>
      </c>
      <c r="B52" s="5">
        <v>35</v>
      </c>
      <c r="C52" s="5" t="s">
        <v>6</v>
      </c>
      <c r="D52" s="5" t="s">
        <v>7</v>
      </c>
      <c r="E52" s="5">
        <v>1600</v>
      </c>
      <c r="F52" s="6" t="s">
        <v>8</v>
      </c>
    </row>
    <row r="53" spans="1:6" ht="16" x14ac:dyDescent="0.35">
      <c r="A53" s="4">
        <v>52</v>
      </c>
      <c r="B53" s="5">
        <v>37</v>
      </c>
      <c r="C53" s="5" t="s">
        <v>9</v>
      </c>
      <c r="D53" s="5" t="s">
        <v>10</v>
      </c>
      <c r="E53" s="5">
        <v>2200</v>
      </c>
      <c r="F53" s="6" t="s">
        <v>11</v>
      </c>
    </row>
    <row r="54" spans="1:6" ht="16" x14ac:dyDescent="0.35">
      <c r="A54" s="4">
        <v>53</v>
      </c>
      <c r="B54" s="5">
        <v>40</v>
      </c>
      <c r="C54" s="5" t="s">
        <v>6</v>
      </c>
      <c r="D54" s="5" t="s">
        <v>12</v>
      </c>
      <c r="E54" s="5">
        <v>750</v>
      </c>
      <c r="F54" s="6" t="s">
        <v>13</v>
      </c>
    </row>
    <row r="55" spans="1:6" ht="16" x14ac:dyDescent="0.35">
      <c r="A55" s="4">
        <v>54</v>
      </c>
      <c r="B55" s="5">
        <v>18</v>
      </c>
      <c r="C55" s="5" t="s">
        <v>9</v>
      </c>
      <c r="D55" s="5" t="s">
        <v>14</v>
      </c>
      <c r="E55" s="5">
        <v>80</v>
      </c>
      <c r="F55" s="6" t="s">
        <v>8</v>
      </c>
    </row>
    <row r="56" spans="1:6" ht="16" x14ac:dyDescent="0.35">
      <c r="A56" s="4">
        <v>55</v>
      </c>
      <c r="B56" s="5">
        <v>53</v>
      </c>
      <c r="C56" s="5" t="s">
        <v>9</v>
      </c>
      <c r="D56" s="5" t="s">
        <v>15</v>
      </c>
      <c r="E56" s="5">
        <v>3500</v>
      </c>
      <c r="F56" s="6" t="s">
        <v>8</v>
      </c>
    </row>
    <row r="57" spans="1:6" ht="16" x14ac:dyDescent="0.35">
      <c r="A57" s="4">
        <v>56</v>
      </c>
      <c r="B57" s="5">
        <v>39</v>
      </c>
      <c r="C57" s="5" t="s">
        <v>6</v>
      </c>
      <c r="D57" s="5" t="s">
        <v>16</v>
      </c>
      <c r="E57" s="5">
        <v>1400</v>
      </c>
      <c r="F57" s="6" t="s">
        <v>11</v>
      </c>
    </row>
    <row r="58" spans="1:6" ht="16" x14ac:dyDescent="0.35">
      <c r="A58" s="4">
        <v>57</v>
      </c>
      <c r="B58" s="5">
        <v>32</v>
      </c>
      <c r="C58" s="5" t="s">
        <v>9</v>
      </c>
      <c r="D58" s="5" t="s">
        <v>17</v>
      </c>
      <c r="E58" s="5">
        <v>950</v>
      </c>
      <c r="F58" s="6" t="s">
        <v>8</v>
      </c>
    </row>
    <row r="59" spans="1:6" ht="16" x14ac:dyDescent="0.35">
      <c r="A59" s="4">
        <v>58</v>
      </c>
      <c r="B59" s="5">
        <v>24</v>
      </c>
      <c r="C59" s="5" t="s">
        <v>6</v>
      </c>
      <c r="D59" s="5" t="s">
        <v>18</v>
      </c>
      <c r="E59" s="5">
        <v>280</v>
      </c>
      <c r="F59" s="6" t="s">
        <v>13</v>
      </c>
    </row>
    <row r="60" spans="1:6" ht="16" x14ac:dyDescent="0.35">
      <c r="A60" s="4">
        <v>59</v>
      </c>
      <c r="B60" s="5">
        <v>31</v>
      </c>
      <c r="C60" s="5" t="s">
        <v>9</v>
      </c>
      <c r="D60" s="5" t="s">
        <v>19</v>
      </c>
      <c r="E60" s="5">
        <v>650</v>
      </c>
      <c r="F60" s="6" t="s">
        <v>11</v>
      </c>
    </row>
    <row r="61" spans="1:6" ht="16.5" thickBot="1" x14ac:dyDescent="0.4">
      <c r="A61" s="7">
        <v>60</v>
      </c>
      <c r="B61" s="8">
        <v>50</v>
      </c>
      <c r="C61" s="8" t="s">
        <v>6</v>
      </c>
      <c r="D61" s="8" t="s">
        <v>20</v>
      </c>
      <c r="E61" s="8">
        <v>2300</v>
      </c>
      <c r="F61" s="9" t="s">
        <v>13</v>
      </c>
    </row>
  </sheetData>
  <dataValidations count="1">
    <dataValidation type="list" allowBlank="1" showInputMessage="1" showErrorMessage="1" sqref="H6" xr:uid="{07522294-5C24-480E-A13E-7F74792F287F}">
      <formula1>"Clothing, Electronics, Home Decor"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836B-44F0-4372-9AEB-0FAD4481AE7E}">
  <dimension ref="B1:N9"/>
  <sheetViews>
    <sheetView showGridLines="0" topLeftCell="B8" workbookViewId="0">
      <selection activeCell="K26" sqref="K26"/>
    </sheetView>
  </sheetViews>
  <sheetFormatPr defaultRowHeight="14.5" x14ac:dyDescent="0.35"/>
  <cols>
    <col min="1" max="2" width="8.7265625" customWidth="1"/>
  </cols>
  <sheetData>
    <row r="1" spans="2:14" x14ac:dyDescent="0.35">
      <c r="B1" s="35"/>
    </row>
    <row r="7" spans="2:14" x14ac:dyDescent="0.35">
      <c r="F7" s="36"/>
      <c r="G7" s="37"/>
      <c r="H7" s="37"/>
      <c r="I7" s="37"/>
      <c r="J7" s="37"/>
      <c r="K7" s="37"/>
      <c r="L7" s="37"/>
    </row>
    <row r="9" spans="2:14" x14ac:dyDescent="0.35">
      <c r="N9" s="3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F5117-6684-4627-8AB2-CE3A934631CC}">
  <dimension ref="A1:I61"/>
  <sheetViews>
    <sheetView workbookViewId="0">
      <pane ySplit="1" topLeftCell="A2" activePane="bottomLeft" state="frozen"/>
      <selection pane="bottomLeft" activeCell="E6" sqref="E6"/>
    </sheetView>
  </sheetViews>
  <sheetFormatPr defaultRowHeight="14.5" x14ac:dyDescent="0.35"/>
  <cols>
    <col min="1" max="1" width="15.81640625" customWidth="1"/>
    <col min="3" max="3" width="9" customWidth="1"/>
    <col min="5" max="5" width="17.36328125" customWidth="1"/>
    <col min="6" max="6" width="17.81640625" customWidth="1"/>
  </cols>
  <sheetData>
    <row r="1" spans="1:9" ht="16" x14ac:dyDescent="0.35">
      <c r="A1" s="41" t="s">
        <v>0</v>
      </c>
      <c r="B1" s="42" t="s">
        <v>1</v>
      </c>
      <c r="C1" s="42" t="s">
        <v>2</v>
      </c>
      <c r="D1" s="42" t="s">
        <v>3</v>
      </c>
      <c r="E1" s="42" t="s">
        <v>4</v>
      </c>
      <c r="F1" s="43" t="s">
        <v>5</v>
      </c>
    </row>
    <row r="2" spans="1:9" ht="16" x14ac:dyDescent="0.35">
      <c r="A2" s="39">
        <v>1</v>
      </c>
      <c r="B2" s="5">
        <v>28</v>
      </c>
      <c r="C2" s="5" t="s">
        <v>6</v>
      </c>
      <c r="D2" s="5" t="s">
        <v>7</v>
      </c>
      <c r="E2" s="5">
        <v>1500</v>
      </c>
      <c r="F2" s="40" t="s">
        <v>8</v>
      </c>
    </row>
    <row r="3" spans="1:9" ht="32" x14ac:dyDescent="0.35">
      <c r="A3" s="39">
        <v>2</v>
      </c>
      <c r="B3" s="5">
        <v>35</v>
      </c>
      <c r="C3" s="5" t="s">
        <v>9</v>
      </c>
      <c r="D3" s="5" t="s">
        <v>10</v>
      </c>
      <c r="E3" s="5">
        <v>2000</v>
      </c>
      <c r="F3" s="40" t="s">
        <v>11</v>
      </c>
      <c r="I3" s="38"/>
    </row>
    <row r="4" spans="1:9" ht="32" x14ac:dyDescent="0.35">
      <c r="A4" s="39">
        <v>3</v>
      </c>
      <c r="B4" s="5">
        <v>42</v>
      </c>
      <c r="C4" s="5" t="s">
        <v>6</v>
      </c>
      <c r="D4" s="5" t="s">
        <v>12</v>
      </c>
      <c r="E4" s="5">
        <v>500</v>
      </c>
      <c r="F4" s="40" t="s">
        <v>13</v>
      </c>
    </row>
    <row r="5" spans="1:9" ht="32" x14ac:dyDescent="0.35">
      <c r="A5" s="39">
        <v>4</v>
      </c>
      <c r="B5" s="5">
        <v>19</v>
      </c>
      <c r="C5" s="5" t="s">
        <v>9</v>
      </c>
      <c r="D5" s="5" t="s">
        <v>14</v>
      </c>
      <c r="E5" s="5">
        <v>100</v>
      </c>
      <c r="F5" s="40" t="s">
        <v>8</v>
      </c>
    </row>
    <row r="6" spans="1:9" ht="32" x14ac:dyDescent="0.35">
      <c r="A6" s="39">
        <v>5</v>
      </c>
      <c r="B6" s="5">
        <v>56</v>
      </c>
      <c r="C6" s="5" t="s">
        <v>9</v>
      </c>
      <c r="D6" s="5" t="s">
        <v>15</v>
      </c>
      <c r="E6" s="5">
        <v>3000</v>
      </c>
      <c r="F6" s="40" t="s">
        <v>8</v>
      </c>
    </row>
    <row r="7" spans="1:9" ht="16" x14ac:dyDescent="0.35">
      <c r="A7" s="39">
        <v>6</v>
      </c>
      <c r="B7" s="5">
        <v>41</v>
      </c>
      <c r="C7" s="5" t="s">
        <v>6</v>
      </c>
      <c r="D7" s="5" t="s">
        <v>16</v>
      </c>
      <c r="E7" s="5">
        <v>1200</v>
      </c>
      <c r="F7" s="40" t="s">
        <v>11</v>
      </c>
    </row>
    <row r="8" spans="1:9" ht="16" x14ac:dyDescent="0.35">
      <c r="A8" s="39">
        <v>7</v>
      </c>
      <c r="B8" s="5">
        <v>33</v>
      </c>
      <c r="C8" s="5" t="s">
        <v>9</v>
      </c>
      <c r="D8" s="5" t="s">
        <v>17</v>
      </c>
      <c r="E8" s="5">
        <v>800</v>
      </c>
      <c r="F8" s="40" t="s">
        <v>8</v>
      </c>
    </row>
    <row r="9" spans="1:9" ht="16" x14ac:dyDescent="0.35">
      <c r="A9" s="39">
        <v>8</v>
      </c>
      <c r="B9" s="5">
        <v>24</v>
      </c>
      <c r="C9" s="5" t="s">
        <v>6</v>
      </c>
      <c r="D9" s="5" t="s">
        <v>18</v>
      </c>
      <c r="E9" s="5">
        <v>250</v>
      </c>
      <c r="F9" s="40" t="s">
        <v>13</v>
      </c>
    </row>
    <row r="10" spans="1:9" ht="16" x14ac:dyDescent="0.35">
      <c r="A10" s="39">
        <v>9</v>
      </c>
      <c r="B10" s="5">
        <v>29</v>
      </c>
      <c r="C10" s="5" t="s">
        <v>9</v>
      </c>
      <c r="D10" s="5" t="s">
        <v>19</v>
      </c>
      <c r="E10" s="5">
        <v>700</v>
      </c>
      <c r="F10" s="40" t="s">
        <v>11</v>
      </c>
    </row>
    <row r="11" spans="1:9" ht="16" x14ac:dyDescent="0.35">
      <c r="A11" s="39">
        <v>10</v>
      </c>
      <c r="B11" s="5">
        <v>45</v>
      </c>
      <c r="C11" s="5" t="s">
        <v>6</v>
      </c>
      <c r="D11" s="5" t="s">
        <v>20</v>
      </c>
      <c r="E11" s="5">
        <v>1800</v>
      </c>
      <c r="F11" s="40" t="s">
        <v>13</v>
      </c>
    </row>
    <row r="12" spans="1:9" ht="16" x14ac:dyDescent="0.35">
      <c r="A12" s="39">
        <v>11</v>
      </c>
      <c r="B12" s="5">
        <v>31</v>
      </c>
      <c r="C12" s="5" t="s">
        <v>6</v>
      </c>
      <c r="D12" s="5" t="s">
        <v>7</v>
      </c>
      <c r="E12" s="5">
        <v>900</v>
      </c>
      <c r="F12" s="40" t="s">
        <v>8</v>
      </c>
    </row>
    <row r="13" spans="1:9" ht="32" x14ac:dyDescent="0.35">
      <c r="A13" s="39">
        <v>12</v>
      </c>
      <c r="B13" s="5">
        <v>39</v>
      </c>
      <c r="C13" s="5" t="s">
        <v>9</v>
      </c>
      <c r="D13" s="5" t="s">
        <v>10</v>
      </c>
      <c r="E13" s="5">
        <v>1500</v>
      </c>
      <c r="F13" s="40" t="s">
        <v>11</v>
      </c>
    </row>
    <row r="14" spans="1:9" ht="16" x14ac:dyDescent="0.35">
      <c r="A14" s="39">
        <v>13</v>
      </c>
      <c r="B14" s="5">
        <v>37</v>
      </c>
      <c r="C14" s="5" t="s">
        <v>6</v>
      </c>
      <c r="D14" s="5" t="s">
        <v>12</v>
      </c>
      <c r="E14" s="5">
        <v>600</v>
      </c>
      <c r="F14" s="40" t="s">
        <v>13</v>
      </c>
    </row>
    <row r="15" spans="1:9" ht="16" x14ac:dyDescent="0.35">
      <c r="A15" s="39">
        <v>14</v>
      </c>
      <c r="B15" s="5">
        <v>22</v>
      </c>
      <c r="C15" s="5" t="s">
        <v>9</v>
      </c>
      <c r="D15" s="5" t="s">
        <v>14</v>
      </c>
      <c r="E15" s="5">
        <v>200</v>
      </c>
      <c r="F15" s="40" t="s">
        <v>8</v>
      </c>
    </row>
    <row r="16" spans="1:9" ht="32" x14ac:dyDescent="0.35">
      <c r="A16" s="39">
        <v>15</v>
      </c>
      <c r="B16" s="5">
        <v>44</v>
      </c>
      <c r="C16" s="5" t="s">
        <v>9</v>
      </c>
      <c r="D16" s="5" t="s">
        <v>15</v>
      </c>
      <c r="E16" s="5">
        <v>2500</v>
      </c>
      <c r="F16" s="40" t="s">
        <v>8</v>
      </c>
    </row>
    <row r="17" spans="1:6" ht="16" x14ac:dyDescent="0.35">
      <c r="A17" s="39">
        <v>16</v>
      </c>
      <c r="B17" s="5">
        <v>27</v>
      </c>
      <c r="C17" s="5" t="s">
        <v>6</v>
      </c>
      <c r="D17" s="5" t="s">
        <v>16</v>
      </c>
      <c r="E17" s="5">
        <v>1100</v>
      </c>
      <c r="F17" s="40" t="s">
        <v>11</v>
      </c>
    </row>
    <row r="18" spans="1:6" ht="16" x14ac:dyDescent="0.35">
      <c r="A18" s="39">
        <v>17</v>
      </c>
      <c r="B18" s="5">
        <v>30</v>
      </c>
      <c r="C18" s="5" t="s">
        <v>9</v>
      </c>
      <c r="D18" s="5" t="s">
        <v>17</v>
      </c>
      <c r="E18" s="5">
        <v>1200</v>
      </c>
      <c r="F18" s="40" t="s">
        <v>8</v>
      </c>
    </row>
    <row r="19" spans="1:6" ht="16" x14ac:dyDescent="0.35">
      <c r="A19" s="39">
        <v>18</v>
      </c>
      <c r="B19" s="5">
        <v>26</v>
      </c>
      <c r="C19" s="5" t="s">
        <v>6</v>
      </c>
      <c r="D19" s="5" t="s">
        <v>18</v>
      </c>
      <c r="E19" s="5">
        <v>350</v>
      </c>
      <c r="F19" s="40" t="s">
        <v>13</v>
      </c>
    </row>
    <row r="20" spans="1:6" ht="16" x14ac:dyDescent="0.35">
      <c r="A20" s="39">
        <v>19</v>
      </c>
      <c r="B20" s="5">
        <v>34</v>
      </c>
      <c r="C20" s="5" t="s">
        <v>9</v>
      </c>
      <c r="D20" s="5" t="s">
        <v>19</v>
      </c>
      <c r="E20" s="5">
        <v>800</v>
      </c>
      <c r="F20" s="40" t="s">
        <v>11</v>
      </c>
    </row>
    <row r="21" spans="1:6" ht="16" x14ac:dyDescent="0.35">
      <c r="A21" s="39">
        <v>20</v>
      </c>
      <c r="B21" s="5">
        <v>48</v>
      </c>
      <c r="C21" s="5" t="s">
        <v>6</v>
      </c>
      <c r="D21" s="5" t="s">
        <v>20</v>
      </c>
      <c r="E21" s="5">
        <v>2000</v>
      </c>
      <c r="F21" s="40" t="s">
        <v>13</v>
      </c>
    </row>
    <row r="22" spans="1:6" ht="16" x14ac:dyDescent="0.35">
      <c r="A22" s="39">
        <v>21</v>
      </c>
      <c r="B22" s="5">
        <v>39</v>
      </c>
      <c r="C22" s="5" t="s">
        <v>9</v>
      </c>
      <c r="D22" s="5" t="s">
        <v>7</v>
      </c>
      <c r="E22" s="5">
        <v>800</v>
      </c>
      <c r="F22" s="40" t="s">
        <v>8</v>
      </c>
    </row>
    <row r="23" spans="1:6" ht="32" x14ac:dyDescent="0.35">
      <c r="A23" s="39">
        <v>22</v>
      </c>
      <c r="B23" s="5">
        <v>28</v>
      </c>
      <c r="C23" s="5" t="s">
        <v>6</v>
      </c>
      <c r="D23" s="5" t="s">
        <v>10</v>
      </c>
      <c r="E23" s="5">
        <v>1200</v>
      </c>
      <c r="F23" s="40" t="s">
        <v>11</v>
      </c>
    </row>
    <row r="24" spans="1:6" ht="16" x14ac:dyDescent="0.35">
      <c r="A24" s="39">
        <v>23</v>
      </c>
      <c r="B24" s="5">
        <v>43</v>
      </c>
      <c r="C24" s="5" t="s">
        <v>6</v>
      </c>
      <c r="D24" s="5" t="s">
        <v>12</v>
      </c>
      <c r="E24" s="5">
        <v>700</v>
      </c>
      <c r="F24" s="40" t="s">
        <v>13</v>
      </c>
    </row>
    <row r="25" spans="1:6" ht="16" x14ac:dyDescent="0.35">
      <c r="A25" s="39">
        <v>24</v>
      </c>
      <c r="B25" s="5">
        <v>21</v>
      </c>
      <c r="C25" s="5" t="s">
        <v>9</v>
      </c>
      <c r="D25" s="5" t="s">
        <v>14</v>
      </c>
      <c r="E25" s="5">
        <v>150</v>
      </c>
      <c r="F25" s="40" t="s">
        <v>8</v>
      </c>
    </row>
    <row r="26" spans="1:6" ht="32" x14ac:dyDescent="0.35">
      <c r="A26" s="39">
        <v>25</v>
      </c>
      <c r="B26" s="5">
        <v>55</v>
      </c>
      <c r="C26" s="5" t="s">
        <v>9</v>
      </c>
      <c r="D26" s="5" t="s">
        <v>15</v>
      </c>
      <c r="E26" s="5">
        <v>2800</v>
      </c>
      <c r="F26" s="40" t="s">
        <v>8</v>
      </c>
    </row>
    <row r="27" spans="1:6" ht="16" x14ac:dyDescent="0.35">
      <c r="A27" s="39">
        <v>26</v>
      </c>
      <c r="B27" s="5">
        <v>40</v>
      </c>
      <c r="C27" s="5" t="s">
        <v>6</v>
      </c>
      <c r="D27" s="5" t="s">
        <v>16</v>
      </c>
      <c r="E27" s="5">
        <v>1300</v>
      </c>
      <c r="F27" s="40" t="s">
        <v>11</v>
      </c>
    </row>
    <row r="28" spans="1:6" ht="16" x14ac:dyDescent="0.35">
      <c r="A28" s="39">
        <v>27</v>
      </c>
      <c r="B28" s="5">
        <v>32</v>
      </c>
      <c r="C28" s="5" t="s">
        <v>9</v>
      </c>
      <c r="D28" s="5" t="s">
        <v>17</v>
      </c>
      <c r="E28" s="5">
        <v>900</v>
      </c>
      <c r="F28" s="40" t="s">
        <v>8</v>
      </c>
    </row>
    <row r="29" spans="1:6" ht="16" x14ac:dyDescent="0.35">
      <c r="A29" s="39">
        <v>28</v>
      </c>
      <c r="B29" s="5">
        <v>23</v>
      </c>
      <c r="C29" s="5" t="s">
        <v>6</v>
      </c>
      <c r="D29" s="5" t="s">
        <v>18</v>
      </c>
      <c r="E29" s="5">
        <v>300</v>
      </c>
      <c r="F29" s="40" t="s">
        <v>13</v>
      </c>
    </row>
    <row r="30" spans="1:6" ht="16" x14ac:dyDescent="0.35">
      <c r="A30" s="39">
        <v>29</v>
      </c>
      <c r="B30" s="5">
        <v>27</v>
      </c>
      <c r="C30" s="5" t="s">
        <v>9</v>
      </c>
      <c r="D30" s="5" t="s">
        <v>19</v>
      </c>
      <c r="E30" s="5">
        <v>600</v>
      </c>
      <c r="F30" s="40" t="s">
        <v>11</v>
      </c>
    </row>
    <row r="31" spans="1:6" ht="16" x14ac:dyDescent="0.35">
      <c r="A31" s="39">
        <v>30</v>
      </c>
      <c r="B31" s="5">
        <v>46</v>
      </c>
      <c r="C31" s="5" t="s">
        <v>6</v>
      </c>
      <c r="D31" s="5" t="s">
        <v>20</v>
      </c>
      <c r="E31" s="5">
        <v>1700</v>
      </c>
      <c r="F31" s="40" t="s">
        <v>13</v>
      </c>
    </row>
    <row r="32" spans="1:6" ht="16" x14ac:dyDescent="0.35">
      <c r="A32" s="39">
        <v>31</v>
      </c>
      <c r="B32" s="5">
        <v>36</v>
      </c>
      <c r="C32" s="5" t="s">
        <v>6</v>
      </c>
      <c r="D32" s="5" t="s">
        <v>7</v>
      </c>
      <c r="E32" s="5">
        <v>1400</v>
      </c>
      <c r="F32" s="40" t="s">
        <v>8</v>
      </c>
    </row>
    <row r="33" spans="1:6" ht="32" x14ac:dyDescent="0.35">
      <c r="A33" s="39">
        <v>32</v>
      </c>
      <c r="B33" s="5">
        <v>38</v>
      </c>
      <c r="C33" s="5" t="s">
        <v>9</v>
      </c>
      <c r="D33" s="5" t="s">
        <v>10</v>
      </c>
      <c r="E33" s="5">
        <v>1800</v>
      </c>
      <c r="F33" s="40" t="s">
        <v>11</v>
      </c>
    </row>
    <row r="34" spans="1:6" ht="16" x14ac:dyDescent="0.35">
      <c r="A34" s="39">
        <v>33</v>
      </c>
      <c r="B34" s="5">
        <v>41</v>
      </c>
      <c r="C34" s="5" t="s">
        <v>6</v>
      </c>
      <c r="D34" s="5" t="s">
        <v>12</v>
      </c>
      <c r="E34" s="5">
        <v>900</v>
      </c>
      <c r="F34" s="40" t="s">
        <v>13</v>
      </c>
    </row>
    <row r="35" spans="1:6" ht="16" x14ac:dyDescent="0.35">
      <c r="A35" s="39">
        <v>34</v>
      </c>
      <c r="B35" s="5">
        <v>20</v>
      </c>
      <c r="C35" s="5" t="s">
        <v>9</v>
      </c>
      <c r="D35" s="5" t="s">
        <v>14</v>
      </c>
      <c r="E35" s="5">
        <v>120</v>
      </c>
      <c r="F35" s="40" t="s">
        <v>13</v>
      </c>
    </row>
    <row r="36" spans="1:6" ht="32" x14ac:dyDescent="0.35">
      <c r="A36" s="39">
        <v>35</v>
      </c>
      <c r="B36" s="5">
        <v>57</v>
      </c>
      <c r="C36" s="5" t="s">
        <v>9</v>
      </c>
      <c r="D36" s="5" t="s">
        <v>15</v>
      </c>
      <c r="E36" s="5">
        <v>3200</v>
      </c>
      <c r="F36" s="40" t="s">
        <v>8</v>
      </c>
    </row>
    <row r="37" spans="1:6" ht="16" x14ac:dyDescent="0.35">
      <c r="A37" s="39">
        <v>36</v>
      </c>
      <c r="B37" s="5">
        <v>43</v>
      </c>
      <c r="C37" s="5" t="s">
        <v>6</v>
      </c>
      <c r="D37" s="5" t="s">
        <v>16</v>
      </c>
      <c r="E37" s="5">
        <v>1400</v>
      </c>
      <c r="F37" s="40" t="s">
        <v>11</v>
      </c>
    </row>
    <row r="38" spans="1:6" ht="16" x14ac:dyDescent="0.35">
      <c r="A38" s="39">
        <v>37</v>
      </c>
      <c r="B38" s="5">
        <v>34</v>
      </c>
      <c r="C38" s="5" t="s">
        <v>9</v>
      </c>
      <c r="D38" s="5" t="s">
        <v>17</v>
      </c>
      <c r="E38" s="5">
        <v>1000</v>
      </c>
      <c r="F38" s="40" t="s">
        <v>8</v>
      </c>
    </row>
    <row r="39" spans="1:6" ht="16" x14ac:dyDescent="0.35">
      <c r="A39" s="39">
        <v>38</v>
      </c>
      <c r="B39" s="5">
        <v>25</v>
      </c>
      <c r="C39" s="5" t="s">
        <v>6</v>
      </c>
      <c r="D39" s="5" t="s">
        <v>18</v>
      </c>
      <c r="E39" s="5">
        <v>400</v>
      </c>
      <c r="F39" s="40" t="s">
        <v>13</v>
      </c>
    </row>
    <row r="40" spans="1:6" ht="16" x14ac:dyDescent="0.35">
      <c r="A40" s="39">
        <v>39</v>
      </c>
      <c r="B40" s="5">
        <v>33</v>
      </c>
      <c r="C40" s="5" t="s">
        <v>9</v>
      </c>
      <c r="D40" s="5" t="s">
        <v>19</v>
      </c>
      <c r="E40" s="5">
        <v>750</v>
      </c>
      <c r="F40" s="40" t="s">
        <v>11</v>
      </c>
    </row>
    <row r="41" spans="1:6" ht="16" x14ac:dyDescent="0.35">
      <c r="A41" s="39">
        <v>40</v>
      </c>
      <c r="B41" s="5">
        <v>47</v>
      </c>
      <c r="C41" s="5" t="s">
        <v>6</v>
      </c>
      <c r="D41" s="5" t="s">
        <v>20</v>
      </c>
      <c r="E41" s="5">
        <v>1900</v>
      </c>
      <c r="F41" s="40" t="s">
        <v>13</v>
      </c>
    </row>
    <row r="42" spans="1:6" ht="16" x14ac:dyDescent="0.35">
      <c r="A42" s="39">
        <v>41</v>
      </c>
      <c r="B42" s="5">
        <v>30</v>
      </c>
      <c r="C42" s="5" t="s">
        <v>9</v>
      </c>
      <c r="D42" s="5" t="s">
        <v>7</v>
      </c>
      <c r="E42" s="5">
        <v>950</v>
      </c>
      <c r="F42" s="40" t="s">
        <v>8</v>
      </c>
    </row>
    <row r="43" spans="1:6" ht="32" x14ac:dyDescent="0.35">
      <c r="A43" s="39">
        <v>42</v>
      </c>
      <c r="B43" s="5">
        <v>29</v>
      </c>
      <c r="C43" s="5" t="s">
        <v>6</v>
      </c>
      <c r="D43" s="5" t="s">
        <v>10</v>
      </c>
      <c r="E43" s="5">
        <v>1100</v>
      </c>
      <c r="F43" s="40" t="s">
        <v>11</v>
      </c>
    </row>
    <row r="44" spans="1:6" ht="16" x14ac:dyDescent="0.35">
      <c r="A44" s="39">
        <v>43</v>
      </c>
      <c r="B44" s="5">
        <v>44</v>
      </c>
      <c r="C44" s="5" t="s">
        <v>6</v>
      </c>
      <c r="D44" s="5" t="s">
        <v>12</v>
      </c>
      <c r="E44" s="5">
        <v>650</v>
      </c>
      <c r="F44" s="40" t="s">
        <v>13</v>
      </c>
    </row>
    <row r="45" spans="1:6" ht="16" x14ac:dyDescent="0.35">
      <c r="A45" s="39">
        <v>44</v>
      </c>
      <c r="B45" s="5">
        <v>23</v>
      </c>
      <c r="C45" s="5" t="s">
        <v>9</v>
      </c>
      <c r="D45" s="5" t="s">
        <v>14</v>
      </c>
      <c r="E45" s="5">
        <v>180</v>
      </c>
      <c r="F45" s="40" t="s">
        <v>8</v>
      </c>
    </row>
    <row r="46" spans="1:6" ht="32" x14ac:dyDescent="0.35">
      <c r="A46" s="39">
        <v>45</v>
      </c>
      <c r="B46" s="5">
        <v>54</v>
      </c>
      <c r="C46" s="5" t="s">
        <v>9</v>
      </c>
      <c r="D46" s="5" t="s">
        <v>15</v>
      </c>
      <c r="E46" s="5">
        <v>2700</v>
      </c>
      <c r="F46" s="40" t="s">
        <v>8</v>
      </c>
    </row>
    <row r="47" spans="1:6" ht="16" x14ac:dyDescent="0.35">
      <c r="A47" s="39">
        <v>46</v>
      </c>
      <c r="B47" s="5">
        <v>42</v>
      </c>
      <c r="C47" s="5" t="s">
        <v>6</v>
      </c>
      <c r="D47" s="5" t="s">
        <v>16</v>
      </c>
      <c r="E47" s="5">
        <v>1250</v>
      </c>
      <c r="F47" s="40" t="s">
        <v>11</v>
      </c>
    </row>
    <row r="48" spans="1:6" ht="16" x14ac:dyDescent="0.35">
      <c r="A48" s="39">
        <v>47</v>
      </c>
      <c r="B48" s="5">
        <v>31</v>
      </c>
      <c r="C48" s="5" t="s">
        <v>9</v>
      </c>
      <c r="D48" s="5" t="s">
        <v>17</v>
      </c>
      <c r="E48" s="5">
        <v>850</v>
      </c>
      <c r="F48" s="40" t="s">
        <v>8</v>
      </c>
    </row>
    <row r="49" spans="1:6" ht="16" x14ac:dyDescent="0.35">
      <c r="A49" s="39">
        <v>48</v>
      </c>
      <c r="B49" s="5">
        <v>22</v>
      </c>
      <c r="C49" s="5" t="s">
        <v>6</v>
      </c>
      <c r="D49" s="5" t="s">
        <v>18</v>
      </c>
      <c r="E49" s="5">
        <v>320</v>
      </c>
      <c r="F49" s="40" t="s">
        <v>13</v>
      </c>
    </row>
    <row r="50" spans="1:6" ht="16" x14ac:dyDescent="0.35">
      <c r="A50" s="39">
        <v>49</v>
      </c>
      <c r="B50" s="5">
        <v>28</v>
      </c>
      <c r="C50" s="5" t="s">
        <v>9</v>
      </c>
      <c r="D50" s="5" t="s">
        <v>19</v>
      </c>
      <c r="E50" s="5">
        <v>650</v>
      </c>
      <c r="F50" s="40" t="s">
        <v>11</v>
      </c>
    </row>
    <row r="51" spans="1:6" ht="16" x14ac:dyDescent="0.35">
      <c r="A51" s="39">
        <v>50</v>
      </c>
      <c r="B51" s="5">
        <v>49</v>
      </c>
      <c r="C51" s="5" t="s">
        <v>6</v>
      </c>
      <c r="D51" s="5" t="s">
        <v>20</v>
      </c>
      <c r="E51" s="5">
        <v>2100</v>
      </c>
      <c r="F51" s="40" t="s">
        <v>13</v>
      </c>
    </row>
    <row r="52" spans="1:6" ht="16" x14ac:dyDescent="0.35">
      <c r="A52" s="39">
        <v>51</v>
      </c>
      <c r="B52" s="5">
        <v>35</v>
      </c>
      <c r="C52" s="5" t="s">
        <v>6</v>
      </c>
      <c r="D52" s="5" t="s">
        <v>7</v>
      </c>
      <c r="E52" s="5">
        <v>1600</v>
      </c>
      <c r="F52" s="40" t="s">
        <v>8</v>
      </c>
    </row>
    <row r="53" spans="1:6" ht="32" x14ac:dyDescent="0.35">
      <c r="A53" s="39">
        <v>52</v>
      </c>
      <c r="B53" s="5">
        <v>37</v>
      </c>
      <c r="C53" s="5" t="s">
        <v>9</v>
      </c>
      <c r="D53" s="5" t="s">
        <v>10</v>
      </c>
      <c r="E53" s="5">
        <v>2200</v>
      </c>
      <c r="F53" s="40" t="s">
        <v>11</v>
      </c>
    </row>
    <row r="54" spans="1:6" ht="16" x14ac:dyDescent="0.35">
      <c r="A54" s="39">
        <v>53</v>
      </c>
      <c r="B54" s="5">
        <v>40</v>
      </c>
      <c r="C54" s="5" t="s">
        <v>6</v>
      </c>
      <c r="D54" s="5" t="s">
        <v>12</v>
      </c>
      <c r="E54" s="5">
        <v>750</v>
      </c>
      <c r="F54" s="40" t="s">
        <v>13</v>
      </c>
    </row>
    <row r="55" spans="1:6" ht="16" x14ac:dyDescent="0.35">
      <c r="A55" s="39">
        <v>54</v>
      </c>
      <c r="B55" s="5">
        <v>18</v>
      </c>
      <c r="C55" s="5" t="s">
        <v>9</v>
      </c>
      <c r="D55" s="5" t="s">
        <v>14</v>
      </c>
      <c r="E55" s="5">
        <v>80</v>
      </c>
      <c r="F55" s="40" t="s">
        <v>8</v>
      </c>
    </row>
    <row r="56" spans="1:6" ht="32" x14ac:dyDescent="0.35">
      <c r="A56" s="39">
        <v>55</v>
      </c>
      <c r="B56" s="5">
        <v>53</v>
      </c>
      <c r="C56" s="5" t="s">
        <v>9</v>
      </c>
      <c r="D56" s="5" t="s">
        <v>15</v>
      </c>
      <c r="E56" s="5">
        <v>3500</v>
      </c>
      <c r="F56" s="40" t="s">
        <v>8</v>
      </c>
    </row>
    <row r="57" spans="1:6" ht="16" x14ac:dyDescent="0.35">
      <c r="A57" s="39">
        <v>56</v>
      </c>
      <c r="B57" s="5">
        <v>39</v>
      </c>
      <c r="C57" s="5" t="s">
        <v>6</v>
      </c>
      <c r="D57" s="5" t="s">
        <v>16</v>
      </c>
      <c r="E57" s="5">
        <v>1400</v>
      </c>
      <c r="F57" s="40" t="s">
        <v>11</v>
      </c>
    </row>
    <row r="58" spans="1:6" ht="16" x14ac:dyDescent="0.35">
      <c r="A58" s="39">
        <v>57</v>
      </c>
      <c r="B58" s="5">
        <v>32</v>
      </c>
      <c r="C58" s="5" t="s">
        <v>9</v>
      </c>
      <c r="D58" s="5" t="s">
        <v>17</v>
      </c>
      <c r="E58" s="5">
        <v>950</v>
      </c>
      <c r="F58" s="40" t="s">
        <v>8</v>
      </c>
    </row>
    <row r="59" spans="1:6" ht="16" x14ac:dyDescent="0.35">
      <c r="A59" s="39">
        <v>58</v>
      </c>
      <c r="B59" s="5">
        <v>24</v>
      </c>
      <c r="C59" s="5" t="s">
        <v>6</v>
      </c>
      <c r="D59" s="5" t="s">
        <v>18</v>
      </c>
      <c r="E59" s="5">
        <v>280</v>
      </c>
      <c r="F59" s="40" t="s">
        <v>13</v>
      </c>
    </row>
    <row r="60" spans="1:6" ht="16" x14ac:dyDescent="0.35">
      <c r="A60" s="39">
        <v>59</v>
      </c>
      <c r="B60" s="5">
        <v>31</v>
      </c>
      <c r="C60" s="5" t="s">
        <v>9</v>
      </c>
      <c r="D60" s="5" t="s">
        <v>19</v>
      </c>
      <c r="E60" s="5">
        <v>650</v>
      </c>
      <c r="F60" s="40" t="s">
        <v>11</v>
      </c>
    </row>
    <row r="61" spans="1:6" ht="16" x14ac:dyDescent="0.35">
      <c r="A61" s="44">
        <v>60</v>
      </c>
      <c r="B61" s="45">
        <v>50</v>
      </c>
      <c r="C61" s="45" t="s">
        <v>6</v>
      </c>
      <c r="D61" s="45" t="s">
        <v>20</v>
      </c>
      <c r="E61" s="45">
        <v>2300</v>
      </c>
      <c r="F61" s="46" t="s">
        <v>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791B1-DC4A-49C0-BFD9-9FDDD8EDD6C5}">
  <dimension ref="A3:B7"/>
  <sheetViews>
    <sheetView workbookViewId="0">
      <selection activeCell="D6" sqref="D6"/>
    </sheetView>
  </sheetViews>
  <sheetFormatPr defaultRowHeight="14.5" x14ac:dyDescent="0.35"/>
  <cols>
    <col min="1" max="1" width="12.453125" bestFit="1" customWidth="1"/>
    <col min="2" max="2" width="21.36328125" bestFit="1" customWidth="1"/>
  </cols>
  <sheetData>
    <row r="3" spans="1:2" x14ac:dyDescent="0.35">
      <c r="A3" s="47" t="s">
        <v>34</v>
      </c>
      <c r="B3" t="s">
        <v>36</v>
      </c>
    </row>
    <row r="4" spans="1:2" x14ac:dyDescent="0.35">
      <c r="A4" s="48" t="s">
        <v>11</v>
      </c>
      <c r="B4">
        <v>21600</v>
      </c>
    </row>
    <row r="5" spans="1:2" x14ac:dyDescent="0.35">
      <c r="A5" s="48" t="s">
        <v>8</v>
      </c>
      <c r="B5">
        <v>31260</v>
      </c>
    </row>
    <row r="6" spans="1:2" x14ac:dyDescent="0.35">
      <c r="A6" s="48" t="s">
        <v>13</v>
      </c>
      <c r="B6">
        <v>17920</v>
      </c>
    </row>
    <row r="7" spans="1:2" x14ac:dyDescent="0.35">
      <c r="A7" s="48" t="s">
        <v>35</v>
      </c>
      <c r="B7">
        <v>70780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D1C4-6062-4315-B1A8-7E1488BE2B0F}">
  <dimension ref="P8"/>
  <sheetViews>
    <sheetView showGridLines="0" topLeftCell="A6" workbookViewId="0">
      <selection activeCell="M9" sqref="M9"/>
    </sheetView>
  </sheetViews>
  <sheetFormatPr defaultRowHeight="14.5" x14ac:dyDescent="0.35"/>
  <sheetData>
    <row r="8" spans="16:16" x14ac:dyDescent="0.35">
      <c r="P8" s="3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7B53-DE20-4037-AD73-88B1945EE0E9}">
  <dimension ref="A3:D19"/>
  <sheetViews>
    <sheetView showGridLines="0" topLeftCell="A30" workbookViewId="0">
      <selection activeCell="G50" sqref="G50"/>
    </sheetView>
  </sheetViews>
  <sheetFormatPr defaultRowHeight="14.5" x14ac:dyDescent="0.35"/>
  <cols>
    <col min="1" max="1" width="21.36328125" bestFit="1" customWidth="1"/>
    <col min="2" max="2" width="15.6328125" bestFit="1" customWidth="1"/>
    <col min="3" max="3" width="6.90625" bestFit="1" customWidth="1"/>
    <col min="4" max="4" width="10.36328125" bestFit="1" customWidth="1"/>
  </cols>
  <sheetData>
    <row r="3" spans="1:4" x14ac:dyDescent="0.35">
      <c r="A3" s="47" t="s">
        <v>36</v>
      </c>
      <c r="B3" s="47" t="s">
        <v>37</v>
      </c>
    </row>
    <row r="4" spans="1:4" x14ac:dyDescent="0.35">
      <c r="A4" s="47" t="s">
        <v>34</v>
      </c>
      <c r="B4" t="s">
        <v>6</v>
      </c>
      <c r="C4" t="s">
        <v>9</v>
      </c>
      <c r="D4" t="s">
        <v>35</v>
      </c>
    </row>
    <row r="5" spans="1:4" x14ac:dyDescent="0.35">
      <c r="A5" s="48" t="s">
        <v>11</v>
      </c>
      <c r="B5" s="50">
        <v>0.14057643402090986</v>
      </c>
      <c r="C5" s="50">
        <v>0.16459451822548743</v>
      </c>
      <c r="D5" s="50">
        <v>0.30517095224639729</v>
      </c>
    </row>
    <row r="6" spans="1:4" x14ac:dyDescent="0.35">
      <c r="A6" s="49" t="s">
        <v>19</v>
      </c>
      <c r="B6" s="50">
        <v>0</v>
      </c>
      <c r="C6" s="50">
        <v>5.8632382028821699E-2</v>
      </c>
      <c r="D6" s="50">
        <v>5.8632382028821699E-2</v>
      </c>
    </row>
    <row r="7" spans="1:4" x14ac:dyDescent="0.35">
      <c r="A7" s="49" t="s">
        <v>10</v>
      </c>
      <c r="B7" s="50">
        <v>3.2495055100310824E-2</v>
      </c>
      <c r="C7" s="50">
        <v>0.10596213619666572</v>
      </c>
      <c r="D7" s="50">
        <v>0.13845719129697653</v>
      </c>
    </row>
    <row r="8" spans="1:4" x14ac:dyDescent="0.35">
      <c r="A8" s="49" t="s">
        <v>16</v>
      </c>
      <c r="B8" s="50">
        <v>0.10808137892059903</v>
      </c>
      <c r="C8" s="50">
        <v>0</v>
      </c>
      <c r="D8" s="50">
        <v>0.10808137892059903</v>
      </c>
    </row>
    <row r="9" spans="1:4" x14ac:dyDescent="0.35">
      <c r="A9" s="48" t="s">
        <v>8</v>
      </c>
      <c r="B9" s="50">
        <v>7.6292738061599322E-2</v>
      </c>
      <c r="C9" s="50">
        <v>0.36535744560610339</v>
      </c>
      <c r="D9" s="50">
        <v>0.44165018366770276</v>
      </c>
    </row>
    <row r="10" spans="1:4" x14ac:dyDescent="0.35">
      <c r="A10" s="49" t="s">
        <v>17</v>
      </c>
      <c r="B10" s="50">
        <v>0</v>
      </c>
      <c r="C10" s="50">
        <v>8.0531223509465955E-2</v>
      </c>
      <c r="D10" s="50">
        <v>8.0531223509465955E-2</v>
      </c>
    </row>
    <row r="11" spans="1:4" x14ac:dyDescent="0.35">
      <c r="A11" s="49" t="s">
        <v>14</v>
      </c>
      <c r="B11" s="50">
        <v>0</v>
      </c>
      <c r="C11" s="50">
        <v>1.0031082226617688E-2</v>
      </c>
      <c r="D11" s="50">
        <v>1.0031082226617688E-2</v>
      </c>
    </row>
    <row r="12" spans="1:4" x14ac:dyDescent="0.35">
      <c r="A12" s="49" t="s">
        <v>7</v>
      </c>
      <c r="B12" s="50">
        <v>7.6292738061599322E-2</v>
      </c>
      <c r="C12" s="50">
        <v>2.4724498445888671E-2</v>
      </c>
      <c r="D12" s="50">
        <v>0.10101723650748799</v>
      </c>
    </row>
    <row r="13" spans="1:4" x14ac:dyDescent="0.35">
      <c r="A13" s="49" t="s">
        <v>15</v>
      </c>
      <c r="B13" s="50">
        <v>0</v>
      </c>
      <c r="C13" s="50">
        <v>0.2500706414241311</v>
      </c>
      <c r="D13" s="50">
        <v>0.2500706414241311</v>
      </c>
    </row>
    <row r="14" spans="1:4" x14ac:dyDescent="0.35">
      <c r="A14" s="48" t="s">
        <v>13</v>
      </c>
      <c r="B14" s="50">
        <v>0.2514834699067533</v>
      </c>
      <c r="C14" s="50">
        <v>1.6953941791466515E-3</v>
      </c>
      <c r="D14" s="50">
        <v>0.25317886408589996</v>
      </c>
    </row>
    <row r="15" spans="1:4" x14ac:dyDescent="0.35">
      <c r="A15" s="49" t="s">
        <v>20</v>
      </c>
      <c r="B15" s="50">
        <v>0.16671376094942075</v>
      </c>
      <c r="C15" s="50">
        <v>0</v>
      </c>
      <c r="D15" s="50">
        <v>0.16671376094942075</v>
      </c>
    </row>
    <row r="16" spans="1:4" x14ac:dyDescent="0.35">
      <c r="A16" s="49" t="s">
        <v>12</v>
      </c>
      <c r="B16" s="50">
        <v>5.7925967787510593E-2</v>
      </c>
      <c r="C16" s="50">
        <v>0</v>
      </c>
      <c r="D16" s="50">
        <v>5.7925967787510593E-2</v>
      </c>
    </row>
    <row r="17" spans="1:4" x14ac:dyDescent="0.35">
      <c r="A17" s="49" t="s">
        <v>14</v>
      </c>
      <c r="B17" s="50">
        <v>0</v>
      </c>
      <c r="C17" s="50">
        <v>1.6953941791466515E-3</v>
      </c>
      <c r="D17" s="50">
        <v>1.6953941791466515E-3</v>
      </c>
    </row>
    <row r="18" spans="1:4" x14ac:dyDescent="0.35">
      <c r="A18" s="49" t="s">
        <v>18</v>
      </c>
      <c r="B18" s="50">
        <v>2.6843741169821984E-2</v>
      </c>
      <c r="C18" s="50">
        <v>0</v>
      </c>
      <c r="D18" s="50">
        <v>2.6843741169821984E-2</v>
      </c>
    </row>
    <row r="19" spans="1:4" x14ac:dyDescent="0.35">
      <c r="A19" s="48" t="s">
        <v>35</v>
      </c>
      <c r="B19" s="50">
        <v>0.46835264198926252</v>
      </c>
      <c r="C19" s="50">
        <v>0.53164735801073748</v>
      </c>
      <c r="D19" s="5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DBE35B9660B9A408B2E84C61D2D8042" ma:contentTypeVersion="4" ma:contentTypeDescription="Create a new document." ma:contentTypeScope="" ma:versionID="89e564bbcfd54a0993f434589491ea9c">
  <xsd:schema xmlns:xsd="http://www.w3.org/2001/XMLSchema" xmlns:xs="http://www.w3.org/2001/XMLSchema" xmlns:p="http://schemas.microsoft.com/office/2006/metadata/properties" xmlns:ns3="44af96cb-63e3-4296-9c23-dc6e185c530e" targetNamespace="http://schemas.microsoft.com/office/2006/metadata/properties" ma:root="true" ma:fieldsID="cc6cfac4633055f6c287a5a33556ff6c" ns3:_="">
    <xsd:import namespace="44af96cb-63e3-4296-9c23-dc6e185c530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af96cb-63e3-4296-9c23-dc6e185c530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8FE151-1A81-42E0-8C71-9751D55FABDE}">
  <ds:schemaRefs>
    <ds:schemaRef ds:uri="http://schemas.microsoft.com/office/2006/documentManagement/types"/>
    <ds:schemaRef ds:uri="http://purl.org/dc/terms/"/>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44af96cb-63e3-4296-9c23-dc6e185c530e"/>
    <ds:schemaRef ds:uri="http://www.w3.org/XML/1998/namespace"/>
    <ds:schemaRef ds:uri="http://purl.org/dc/dcmitype/"/>
  </ds:schemaRefs>
</ds:datastoreItem>
</file>

<file path=customXml/itemProps2.xml><?xml version="1.0" encoding="utf-8"?>
<ds:datastoreItem xmlns:ds="http://schemas.openxmlformats.org/officeDocument/2006/customXml" ds:itemID="{FDDFC15B-E5FC-4035-B83C-CCDEAB9D7A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af96cb-63e3-4296-9c23-dc6e185c53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2C51D0-64D7-4E0F-8F4D-708915AC83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Mean,Median,Mode</vt:lpstr>
      <vt:lpstr>GOAL SEEK</vt:lpstr>
      <vt:lpstr>TABLE CREATION</vt:lpstr>
      <vt:lpstr>DASHBOARD CREATION</vt:lpstr>
      <vt:lpstr>DATA VISUALIZATION</vt:lpstr>
      <vt:lpstr>PIVOT TABLE</vt:lpstr>
      <vt:lpstr>LINE CHART</vt:lpstr>
      <vt:lpstr>SALES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Olufisayo-Eniola.Adegbite</dc:creator>
  <cp:lastModifiedBy>Olufisayo-Eniola.Adegbite</cp:lastModifiedBy>
  <dcterms:created xsi:type="dcterms:W3CDTF">2026-02-19T12:32:07Z</dcterms:created>
  <dcterms:modified xsi:type="dcterms:W3CDTF">2026-02-22T03:18:32Z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0x010100ADBE35B9660B9A408B2E84C61D2D8042</vt:lpwstr>
  </property>
</Properties>
</file>